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Overview" sheetId="1" state="visible" r:id="rId3"/>
    <sheet name="Step1 - Introduction" sheetId="2" state="visible" r:id="rId4"/>
    <sheet name="Step2 - Functionality" sheetId="3" state="visible" r:id="rId5"/>
    <sheet name="Step3 - Test Plan" sheetId="4" state="visible" r:id="rId6"/>
    <sheet name="Step4 - Test Scenarios" sheetId="5" state="visible" r:id="rId7"/>
    <sheet name="Step5 - Test Cases" sheetId="6" state="visible" r:id="rId8"/>
    <sheet name="Step6 - Environment" sheetId="7" state="visible" r:id="rId9"/>
    <sheet name="Step7 - Execution" sheetId="8" state="visible" r:id="rId10"/>
    <sheet name="Step8 - Bug Report" sheetId="9" state="visible" r:id="rId11"/>
    <sheet name="Step9 - Regression" sheetId="10" state="visible" r:id="rId12"/>
    <sheet name="Step10 - Sign Off" sheetId="11" state="visible" r:id="rId13"/>
  </sheets>
  <definedNames>
    <definedName function="false" hidden="true" localSheetId="5" name="_xlnm._FilterDatabase" vbProcedure="false">'Step5 - Test Cases'!$A$2:$N$27</definedName>
    <definedName function="false" hidden="true" localSheetId="8" name="_xlnm._FilterDatabase" vbProcedure="false">'Step8 - Bug Report'!$A$2:$J$14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<sst xmlns="http://schemas.openxmlformats.org/spreadsheetml/2006/main" count="1385" uniqueCount="705">
  <si>
    <t xml:space="preserve">🏦  Banking Application — Manual Testing Project</t>
  </si>
  <si>
    <t xml:space="preserve">Project follows 10 Standard QA Steps  |  Application: Core Banking System  |  Version: 1.0</t>
  </si>
  <si>
    <t xml:space="preserve">Project Name</t>
  </si>
  <si>
    <t xml:space="preserve">Banking Application Manual Testing</t>
  </si>
  <si>
    <t xml:space="preserve">Application Type</t>
  </si>
  <si>
    <t xml:space="preserve">Web + Mobile Banking Platform</t>
  </si>
  <si>
    <t xml:space="preserve">Testing Type</t>
  </si>
  <si>
    <t xml:space="preserve">Manual Testing (Functional, Security, Regression, UAT)</t>
  </si>
  <si>
    <t xml:space="preserve">Total Features</t>
  </si>
  <si>
    <t xml:space="preserve">15 Banking Modules</t>
  </si>
  <si>
    <t xml:space="preserve">Total Test Cases</t>
  </si>
  <si>
    <t xml:space="preserve">25 Test Cases</t>
  </si>
  <si>
    <t xml:space="preserve">QA Environment</t>
  </si>
  <si>
    <t xml:space="preserve">SIT + UAT</t>
  </si>
  <si>
    <t xml:space="preserve">Project Duration</t>
  </si>
  <si>
    <t xml:space="preserve">4 Weeks (Sprint-based)</t>
  </si>
  <si>
    <t xml:space="preserve">Tool Used</t>
  </si>
  <si>
    <t xml:space="preserve">JIRA (Bug Tracking) | TestRail (Test Management) | Excel (Documentation)</t>
  </si>
  <si>
    <t xml:space="preserve">Prepared By</t>
  </si>
  <si>
    <t xml:space="preserve">QA Team</t>
  </si>
  <si>
    <t xml:space="preserve">Date</t>
  </si>
  <si>
    <t xml:space="preserve">April 2026</t>
  </si>
  <si>
    <t xml:space="preserve">📋  10 QA Steps Followed in This Project</t>
  </si>
  <si>
    <t xml:space="preserve">Step</t>
  </si>
  <si>
    <t xml:space="preserve">Phase</t>
  </si>
  <si>
    <t xml:space="preserve">Description / Deliverables</t>
  </si>
  <si>
    <t xml:space="preserve">Step 1</t>
  </si>
  <si>
    <t xml:space="preserve">Project Introduction</t>
  </si>
  <si>
    <t xml:space="preserve">Understand project scope, objectives, and stakeholders. Review BRD/SRS documents.</t>
  </si>
  <si>
    <t xml:space="preserve">Step 2</t>
  </si>
  <si>
    <t xml:space="preserve">Understanding &amp; Explore Functionality</t>
  </si>
  <si>
    <t xml:space="preserve">Explore all 15 banking features, study user flows, API docs, and UI wireframes.</t>
  </si>
  <si>
    <t xml:space="preserve">Step 3</t>
  </si>
  <si>
    <t xml:space="preserve">Test Plan → Estimation</t>
  </si>
  <si>
    <t xml:space="preserve">Create Test Plan with scope, schedule, resources, risks, and effort estimation.</t>
  </si>
  <si>
    <t xml:space="preserve">Step 4</t>
  </si>
  <si>
    <t xml:space="preserve">Writing Test Scenarios</t>
  </si>
  <si>
    <t xml:space="preserve">Write high-level test scenarios for each feature covering positive &amp; negative cases.</t>
  </si>
  <si>
    <t xml:space="preserve">Step 5</t>
  </si>
  <si>
    <t xml:space="preserve">Writing Test Cases &amp; Reviews</t>
  </si>
  <si>
    <t xml:space="preserve">Detailed test cases with steps, data, expected results. Peer review &amp; sign-off.</t>
  </si>
  <si>
    <t xml:space="preserve">Step 6</t>
  </si>
  <si>
    <t xml:space="preserve">Environment Setup &amp; Build Deployment</t>
  </si>
  <si>
    <t xml:space="preserve">Configure SIT/UAT environments, deploy build, verify smoke test pass.</t>
  </si>
  <si>
    <t xml:space="preserve">Step 7</t>
  </si>
  <si>
    <t xml:space="preserve">Test Execution</t>
  </si>
  <si>
    <t xml:space="preserve">Execute all test cases, record actual results, capture screenshots for failures.</t>
  </si>
  <si>
    <t xml:space="preserve">Step 8</t>
  </si>
  <si>
    <t xml:space="preserve">Bug Reporting &amp; Tracking</t>
  </si>
  <si>
    <t xml:space="preserve">Log defects in JIRA with severity/priority, assign to dev, track till closure.</t>
  </si>
  <si>
    <t xml:space="preserve">Step 9</t>
  </si>
  <si>
    <t xml:space="preserve">Sanity, Re-testing &amp; Regression Testing</t>
  </si>
  <si>
    <t xml:space="preserve">After bug fixes: sanity check → retest fixed bugs → regression on impacted areas.</t>
  </si>
  <si>
    <t xml:space="preserve">Step 10</t>
  </si>
  <si>
    <t xml:space="preserve">Test Sign Off</t>
  </si>
  <si>
    <t xml:space="preserve">Prepare Test Summary Report, get sign-off from stakeholders for go-live.</t>
  </si>
  <si>
    <t xml:space="preserve">STEP 1 — Project Introduction</t>
  </si>
  <si>
    <t xml:space="preserve">Project Background</t>
  </si>
  <si>
    <t xml:space="preserve">The Banking Application is a comprehensive digital banking platform that provides retail and corporate customers access to banking services via web and mobile interfaces. The QA team is responsible for validating all core banking functionalities before production release.</t>
  </si>
  <si>
    <t xml:space="preserve">Project Scope</t>
  </si>
  <si>
    <t xml:space="preserve">IN SCOPE: User Login &amp; Authentication, Fund Transfer (NEFT/IMPS/UPI), Account Balance &amp; Statements, Bill Payments, Loan Application, Fixed Deposits, ATM/Card Management, Profile Management, Notifications, Cheque Services, Session Management, Performance &amp; Accessibility.
OUT OF SCOPE: Backend database testing, load testing beyond 3G simulation, third-party payment reconciliation.</t>
  </si>
  <si>
    <t xml:space="preserve">Objectives</t>
  </si>
  <si>
    <t xml:space="preserve">1. Validate all 15 banking features against business requirements.
2. Identify and report defects before UAT sign-off.
3. Ensure security vulnerabilities are tested (OWASP Top 10).
4. Achieve 100% test case execution with &lt;5% critical defect escape rate.</t>
  </si>
  <si>
    <t xml:space="preserve">Stakeholders</t>
  </si>
  <si>
    <t xml:space="preserve">Product Owner: Mr. Rajesh Kumar
Business Analyst: Ms. Priya Sharma
Dev Lead: Mr. Arjun Nair
QA Lead: Ms. Kavitha Reddy
Project Manager: Mr. Suresh Patel</t>
  </si>
  <si>
    <t xml:space="preserve">Assumptions &amp; Risks</t>
  </si>
  <si>
    <t xml:space="preserve">ASSUMPTIONS: SRS document is final. Test data will be provided by the BA team. JIRA access granted to all QA members.
RISKS: Delayed build delivery may impact test schedule. Environment instability in SIT. Incomplete test data for loan module.</t>
  </si>
  <si>
    <t xml:space="preserve">Entry &amp; Exit Criteria</t>
  </si>
  <si>
    <t xml:space="preserve">ENTRY: Build deployed, smoke test passed, test cases reviewed &amp; approved.
EXIT: 100% test execution, 0 critical open defects, UAT sign-off obtained, Test Summary Report approved.</t>
  </si>
  <si>
    <t xml:space="preserve">STEP 2 — Understanding &amp; Exploring Functionality → Documentation</t>
  </si>
  <si>
    <t xml:space="preserve">#</t>
  </si>
  <si>
    <t xml:space="preserve">Feature Module</t>
  </si>
  <si>
    <t xml:space="preserve">Sub-Features / User Flows</t>
  </si>
  <si>
    <t xml:space="preserve">User Roles</t>
  </si>
  <si>
    <t xml:space="preserve">Integration Points</t>
  </si>
  <si>
    <t xml:space="preserve">Priority</t>
  </si>
  <si>
    <t xml:space="preserve">User Login &amp; Auth</t>
  </si>
  <si>
    <t xml:space="preserve">Login with credentials, OTP 2FA, CAPTCHA, Account lockout, Password reset, Remember device</t>
  </si>
  <si>
    <t xml:space="preserve">Customer, Admin</t>
  </si>
  <si>
    <t xml:space="preserve">Active Directory, OTP Gateway</t>
  </si>
  <si>
    <t xml:space="preserve">Critical</t>
  </si>
  <si>
    <t xml:space="preserve">Fund Transfer</t>
  </si>
  <si>
    <t xml:space="preserve">Own account transfer, NEFT, RTGS, IMPS, Add beneficiary, Transfer limits</t>
  </si>
  <si>
    <t xml:space="preserve">Customer</t>
  </si>
  <si>
    <t xml:space="preserve">NEFT/RTGS Clearing, CBS Core</t>
  </si>
  <si>
    <t xml:space="preserve">UPI Payments</t>
  </si>
  <si>
    <t xml:space="preserve">Send/Receive via UPI ID, QR code scan, MPIN validation, UPI lite</t>
  </si>
  <si>
    <t xml:space="preserve">NPCI UPI Switch</t>
  </si>
  <si>
    <t xml:space="preserve">Account Balance</t>
  </si>
  <si>
    <t xml:space="preserve">Savings/Current/FD balance view, Mini statement, Available vs. ledger balance</t>
  </si>
  <si>
    <t xml:space="preserve">Customer, RM</t>
  </si>
  <si>
    <t xml:space="preserve">CBS Core System</t>
  </si>
  <si>
    <t xml:space="preserve">High</t>
  </si>
  <si>
    <t xml:space="preserve">Account Statement</t>
  </si>
  <si>
    <t xml:space="preserve">View/Download PDF/Excel, Date range filter, Transaction search</t>
  </si>
  <si>
    <t xml:space="preserve">Report Engine, PDF Generator</t>
  </si>
  <si>
    <t xml:space="preserve">Bill Payment</t>
  </si>
  <si>
    <t xml:space="preserve">Electricity, Water, Gas, DTH, Mobile recharge, Insurance premium</t>
  </si>
  <si>
    <t xml:space="preserve">BBPS Gateway, Billers API</t>
  </si>
  <si>
    <t xml:space="preserve">Loan Application</t>
  </si>
  <si>
    <t xml:space="preserve">Personal, Home, Car loan apply, EMI calculator, Document upload, Status tracking</t>
  </si>
  <si>
    <t xml:space="preserve">Customer, Loan Officer</t>
  </si>
  <si>
    <t xml:space="preserve">Loan Origination System</t>
  </si>
  <si>
    <t xml:space="preserve">Fixed Deposits</t>
  </si>
  <si>
    <t xml:space="preserve">Create FD, View FD details, Premature closure, Auto-renewal, FD certificate</t>
  </si>
  <si>
    <t xml:space="preserve">CBS FD Module</t>
  </si>
  <si>
    <t xml:space="preserve">Medium</t>
  </si>
  <si>
    <t xml:space="preserve">Profile Management</t>
  </si>
  <si>
    <t xml:space="preserve">Update contact info, Change password, KYC update, Nominee management</t>
  </si>
  <si>
    <t xml:space="preserve">KYC System, CRM</t>
  </si>
  <si>
    <t xml:space="preserve">Cheque Services</t>
  </si>
  <si>
    <t xml:space="preserve">Cheque book request, Stop cheque, Cheque status enquiry, Positive pay</t>
  </si>
  <si>
    <t xml:space="preserve">Cheque Clearing System</t>
  </si>
  <si>
    <t xml:space="preserve">Low</t>
  </si>
  <si>
    <t xml:space="preserve">ATM/Card Management</t>
  </si>
  <si>
    <t xml:space="preserve">Block/Unblock card, Change ATM PIN, Set transaction limits, Virtual card</t>
  </si>
  <si>
    <t xml:space="preserve">Card Management System</t>
  </si>
  <si>
    <t xml:space="preserve">Notifications</t>
  </si>
  <si>
    <t xml:space="preserve">SMS, Email, Push alerts for all transactions, OTP, Offers, Balance alerts</t>
  </si>
  <si>
    <t xml:space="preserve">SMS Gateway, Email Server</t>
  </si>
  <si>
    <t xml:space="preserve">Session Management</t>
  </si>
  <si>
    <t xml:space="preserve">Auto logout, Concurrent session control, Session token expiry</t>
  </si>
  <si>
    <t xml:space="preserve">Auth Server</t>
  </si>
  <si>
    <t xml:space="preserve">Performance</t>
  </si>
  <si>
    <t xml:space="preserve">Page load times on 3G/4G, Response time for transactions, App crash rate</t>
  </si>
  <si>
    <t xml:space="preserve">All</t>
  </si>
  <si>
    <t xml:space="preserve">APM Tools</t>
  </si>
  <si>
    <t xml:space="preserve">Accessibility</t>
  </si>
  <si>
    <t xml:space="preserve">WCAG 2.1 compliance, Screen reader support, Keyboard navigation</t>
  </si>
  <si>
    <t xml:space="preserve">All Users</t>
  </si>
  <si>
    <t xml:space="preserve">N/A</t>
  </si>
  <si>
    <t xml:space="preserve">STEP 3 — Test Plan &amp; Effort Estimation</t>
  </si>
  <si>
    <t xml:space="preserve">Test Plan ID</t>
  </si>
  <si>
    <t xml:space="preserve">TP-BANK-2026-001</t>
  </si>
  <si>
    <t xml:space="preserve">Project</t>
  </si>
  <si>
    <t xml:space="preserve">Banking Application v1.0</t>
  </si>
  <si>
    <t xml:space="preserve">QA Lead — Kavitha Reddy</t>
  </si>
  <si>
    <t xml:space="preserve">Reviewed By</t>
  </si>
  <si>
    <t xml:space="preserve">Project Manager — Suresh Patel</t>
  </si>
  <si>
    <t xml:space="preserve">Version</t>
  </si>
  <si>
    <t xml:space="preserve">1.0</t>
  </si>
  <si>
    <t xml:space="preserve">Effort Estimation by Feature</t>
  </si>
  <si>
    <t xml:space="preserve">Feature</t>
  </si>
  <si>
    <t xml:space="preserve">Test Scenarios</t>
  </si>
  <si>
    <t xml:space="preserve">Test Cases</t>
  </si>
  <si>
    <t xml:space="preserve">Estimated Hrs</t>
  </si>
  <si>
    <t xml:space="preserve">Actual Hrs</t>
  </si>
  <si>
    <t xml:space="preserve">Status</t>
  </si>
  <si>
    <t xml:space="preserve">Completed</t>
  </si>
  <si>
    <t xml:space="preserve">TOTAL</t>
  </si>
  <si>
    <t xml:space="preserve">STEP 4 — Test Scenarios</t>
  </si>
  <si>
    <t xml:space="preserve">Scenario ID</t>
  </si>
  <si>
    <t xml:space="preserve">Test Scenario</t>
  </si>
  <si>
    <t xml:space="preserve">Type</t>
  </si>
  <si>
    <t xml:space="preserve">Coverage</t>
  </si>
  <si>
    <t xml:space="preserve">TS-001</t>
  </si>
  <si>
    <t xml:space="preserve">User Login</t>
  </si>
  <si>
    <t xml:space="preserve">Verify valid login with correct username and password</t>
  </si>
  <si>
    <t xml:space="preserve">Positive</t>
  </si>
  <si>
    <t xml:space="preserve">Functional</t>
  </si>
  <si>
    <t xml:space="preserve">TS-002</t>
  </si>
  <si>
    <t xml:space="preserve">Verify login fails with incorrect credentials</t>
  </si>
  <si>
    <t xml:space="preserve">Negative</t>
  </si>
  <si>
    <t xml:space="preserve">TS-003</t>
  </si>
  <si>
    <t xml:space="preserve">Verify account locks after 3 consecutive failed attempts</t>
  </si>
  <si>
    <t xml:space="preserve">Security</t>
  </si>
  <si>
    <t xml:space="preserve">TS-004</t>
  </si>
  <si>
    <t xml:space="preserve">Verify 2FA OTP is sent and accepted correctly</t>
  </si>
  <si>
    <t xml:space="preserve">TS-005</t>
  </si>
  <si>
    <t xml:space="preserve">Verify successful fund transfer between own accounts</t>
  </si>
  <si>
    <t xml:space="preserve">TS-006</t>
  </si>
  <si>
    <t xml:space="preserve">Verify NEFT transfer to external bank account</t>
  </si>
  <si>
    <t xml:space="preserve">Integration</t>
  </si>
  <si>
    <t xml:space="preserve">TS-007</t>
  </si>
  <si>
    <t xml:space="preserve">Verify transfer is rejected when amount exceeds daily limit</t>
  </si>
  <si>
    <t xml:space="preserve">Boundary</t>
  </si>
  <si>
    <t xml:space="preserve">TS-008</t>
  </si>
  <si>
    <t xml:space="preserve">Verify transfer fails with insufficient balance</t>
  </si>
  <si>
    <t xml:space="preserve">TS-009</t>
  </si>
  <si>
    <t xml:space="preserve">UPI Payment</t>
  </si>
  <si>
    <t xml:space="preserve">Verify UPI payment to valid UPI ID with correct MPIN</t>
  </si>
  <si>
    <t xml:space="preserve">TS-010</t>
  </si>
  <si>
    <t xml:space="preserve">Verify UPI payment blocked on wrong MPIN entry</t>
  </si>
  <si>
    <t xml:space="preserve">TS-011</t>
  </si>
  <si>
    <t xml:space="preserve">Verify account balance is displayed correctly</t>
  </si>
  <si>
    <t xml:space="preserve">TS-012</t>
  </si>
  <si>
    <t xml:space="preserve">Verify statement download in PDF for custom date range</t>
  </si>
  <si>
    <t xml:space="preserve">TS-013</t>
  </si>
  <si>
    <t xml:space="preserve">Verify successful bill payment with sufficient balance</t>
  </si>
  <si>
    <t xml:space="preserve">TS-014</t>
  </si>
  <si>
    <t xml:space="preserve">Verify bill payment fails with insufficient balance</t>
  </si>
  <si>
    <t xml:space="preserve">TS-015</t>
  </si>
  <si>
    <t xml:space="preserve">Verify loan application form submission with valid data</t>
  </si>
  <si>
    <t xml:space="preserve">TS-016</t>
  </si>
  <si>
    <t xml:space="preserve">Verify EMI calculator produces correct values</t>
  </si>
  <si>
    <t xml:space="preserve">TS-017</t>
  </si>
  <si>
    <t xml:space="preserve">Fixed Deposit</t>
  </si>
  <si>
    <t xml:space="preserve">Verify new FD creation with valid amount and tenure</t>
  </si>
  <si>
    <t xml:space="preserve">TS-018</t>
  </si>
  <si>
    <t xml:space="preserve">Verify premature FD closure calculates penalty correctly</t>
  </si>
  <si>
    <t xml:space="preserve">TS-019</t>
  </si>
  <si>
    <t xml:space="preserve">Profile Update</t>
  </si>
  <si>
    <t xml:space="preserve">Verify mobile number update with OTP verification</t>
  </si>
  <si>
    <t xml:space="preserve">TS-020</t>
  </si>
  <si>
    <t xml:space="preserve">ATM/Card Mgmt</t>
  </si>
  <si>
    <t xml:space="preserve">Verify debit card can be blocked immediately on request</t>
  </si>
  <si>
    <t xml:space="preserve">TS-021</t>
  </si>
  <si>
    <t xml:space="preserve">Verify ATM PIN change with correct old PIN</t>
  </si>
  <si>
    <t xml:space="preserve">TS-022</t>
  </si>
  <si>
    <t xml:space="preserve">Verify SMS alert received within 30 sec of transaction</t>
  </si>
  <si>
    <t xml:space="preserve">TS-023</t>
  </si>
  <si>
    <t xml:space="preserve">Session Mgmt</t>
  </si>
  <si>
    <t xml:space="preserve">Verify session auto-expires after 5 minutes of inactivity</t>
  </si>
  <si>
    <t xml:space="preserve">TS-024</t>
  </si>
  <si>
    <t xml:space="preserve">Verify login page loads within 5 seconds on 3G network</t>
  </si>
  <si>
    <t xml:space="preserve">TS-025</t>
  </si>
  <si>
    <t xml:space="preserve">Verify all screen elements are readable by screen reader</t>
  </si>
  <si>
    <t xml:space="preserve">STEP 5 — Detailed Test Cases &amp; Review</t>
  </si>
  <si>
    <t xml:space="preserve">TC ID</t>
  </si>
  <si>
    <t xml:space="preserve">Scenario</t>
  </si>
  <si>
    <t xml:space="preserve">Pre-conditions</t>
  </si>
  <si>
    <t xml:space="preserve">Test Steps</t>
  </si>
  <si>
    <t xml:space="preserve">Test Data</t>
  </si>
  <si>
    <t xml:space="preserve">Expected Result</t>
  </si>
  <si>
    <t xml:space="preserve">Actual Result</t>
  </si>
  <si>
    <t xml:space="preserve">Severity</t>
  </si>
  <si>
    <t xml:space="preserve">Environment</t>
  </si>
  <si>
    <t xml:space="preserve">Remarks</t>
  </si>
  <si>
    <t xml:space="preserve">TC-001</t>
  </si>
  <si>
    <t xml:space="preserve">Valid login</t>
  </si>
  <si>
    <t xml:space="preserve">App open, network active</t>
  </si>
  <si>
    <t xml:space="preserve">1. Navigate to login page
2. Enter valid email
3. Enter correct password
4. Click Login</t>
  </si>
  <si>
    <t xml:space="preserve">Email: user@bank.com
Pass: Test@123</t>
  </si>
  <si>
    <t xml:space="preserve">Dashboard loads, welcome message shown</t>
  </si>
  <si>
    <t xml:space="preserve">Dashboard loaded</t>
  </si>
  <si>
    <t xml:space="preserve">Pass</t>
  </si>
  <si>
    <t xml:space="preserve">UAT</t>
  </si>
  <si>
    <t xml:space="preserve">Smoke test case</t>
  </si>
  <si>
    <t xml:space="preserve">TC-002</t>
  </si>
  <si>
    <t xml:space="preserve">Invalid password</t>
  </si>
  <si>
    <t xml:space="preserve">App open</t>
  </si>
  <si>
    <t xml:space="preserve">1. Navigate to login
2. Enter valid email
3. Enter wrong password
4. Click Login</t>
  </si>
  <si>
    <t xml:space="preserve">Email: user@bank.com
Pass: Wrong999</t>
  </si>
  <si>
    <t xml:space="preserve">Error: 'Invalid credentials' displayed</t>
  </si>
  <si>
    <t xml:space="preserve">Error shown</t>
  </si>
  <si>
    <t xml:space="preserve">Negative test</t>
  </si>
  <si>
    <t xml:space="preserve">TC-003</t>
  </si>
  <si>
    <t xml:space="preserve">Account lockout</t>
  </si>
  <si>
    <t xml:space="preserve">Valid account exists</t>
  </si>
  <si>
    <t xml:space="preserve">1. Enter wrong password 3 times consecutively
2. Check for lockout message</t>
  </si>
  <si>
    <t xml:space="preserve">3 wrong attempts</t>
  </si>
  <si>
    <t xml:space="preserve">Account locked, lockout message displayed</t>
  </si>
  <si>
    <t xml:space="preserve">Account locked</t>
  </si>
  <si>
    <t xml:space="preserve">SIT</t>
  </si>
  <si>
    <t xml:space="preserve">Security - lockout policy</t>
  </si>
  <si>
    <t xml:space="preserve">TC-004</t>
  </si>
  <si>
    <t xml:space="preserve">Own account transfer</t>
  </si>
  <si>
    <t xml:space="preserve">Login complete, 2 accounts</t>
  </si>
  <si>
    <t xml:space="preserve">1. Go to Transfer
2. Select From: Savings
3. Select To: Current
4. Enter ₹5,000
5. Click Submit</t>
  </si>
  <si>
    <t xml:space="preserve">From: SAV001
To: CUR001
Amt: ₹5,000</t>
  </si>
  <si>
    <t xml:space="preserve">Success msg + reference number, balance updated</t>
  </si>
  <si>
    <t xml:space="preserve">Transfer success</t>
  </si>
  <si>
    <t xml:space="preserve">Core banking flow</t>
  </si>
  <si>
    <t xml:space="preserve">TC-005</t>
  </si>
  <si>
    <t xml:space="preserve">NEFT transfer</t>
  </si>
  <si>
    <t xml:space="preserve">Beneficiary added</t>
  </si>
  <si>
    <t xml:space="preserve">1. Go to NEFT
2. Select beneficiary
3. Enter ₹10,000
4. Confirm</t>
  </si>
  <si>
    <t xml:space="preserve">IFSC: HDFC0001234
Amt: ₹10,000</t>
  </si>
  <si>
    <t xml:space="preserve">Transaction pending/success with ref no.</t>
  </si>
  <si>
    <t xml:space="preserve">Ref no generated</t>
  </si>
  <si>
    <t xml:space="preserve">IFSC validation needed</t>
  </si>
  <si>
    <t xml:space="preserve">TC-006</t>
  </si>
  <si>
    <t xml:space="preserve">Exceed daily limit</t>
  </si>
  <si>
    <t xml:space="preserve">Daily limit = ₹2,00,000</t>
  </si>
  <si>
    <t xml:space="preserve">1. Go to Transfer
2. Enter amount above daily limit
3. Submit</t>
  </si>
  <si>
    <t xml:space="preserve">Amt: ₹5,00,000</t>
  </si>
  <si>
    <t xml:space="preserve">Error: 'Daily transaction limit exceeded'</t>
  </si>
  <si>
    <t xml:space="preserve">Boundary value test</t>
  </si>
  <si>
    <t xml:space="preserve">TC-007</t>
  </si>
  <si>
    <t xml:space="preserve">UPI to valid ID</t>
  </si>
  <si>
    <t xml:space="preserve">UPI registered, MPIN set</t>
  </si>
  <si>
    <t xml:space="preserve">1. Go to UPI Pay
2. Enter UPI ID
3. Enter amount
4. Enter MPIN
5. Confirm</t>
  </si>
  <si>
    <t xml:space="preserve">UPI: friend@okaxis
Amt: ₹500
MPIN: 1234</t>
  </si>
  <si>
    <t xml:space="preserve">Payment success, debit notification</t>
  </si>
  <si>
    <t xml:space="preserve">Payment success</t>
  </si>
  <si>
    <t xml:space="preserve">Real-time payment</t>
  </si>
  <si>
    <t xml:space="preserve">TC-008</t>
  </si>
  <si>
    <t xml:space="preserve">Wrong MPIN</t>
  </si>
  <si>
    <t xml:space="preserve">UPI registered</t>
  </si>
  <si>
    <t xml:space="preserve">1. Go to UPI Pay
2. Enter valid UPI ID
3. Enter wrong MPIN</t>
  </si>
  <si>
    <t xml:space="preserve">UPI: test@upi
Wrong MPIN: 0000</t>
  </si>
  <si>
    <t xml:space="preserve">Error: 'Incorrect MPIN', retry option</t>
  </si>
  <si>
    <t xml:space="preserve">Security - MPIN validation</t>
  </si>
  <si>
    <t xml:space="preserve">TC-009</t>
  </si>
  <si>
    <t xml:space="preserve">View balance</t>
  </si>
  <si>
    <t xml:space="preserve">Login complete</t>
  </si>
  <si>
    <t xml:space="preserve">1. Go to Accounts
2. Select Savings Account
3. Click Balance</t>
  </si>
  <si>
    <t xml:space="preserve">Account: SAV001</t>
  </si>
  <si>
    <t xml:space="preserve">Available balance and ledger balance shown</t>
  </si>
  <si>
    <t xml:space="preserve">Balance displayed</t>
  </si>
  <si>
    <t xml:space="preserve">Core feature</t>
  </si>
  <si>
    <t xml:space="preserve">TC-010</t>
  </si>
  <si>
    <t xml:space="preserve">Download PDF</t>
  </si>
  <si>
    <t xml:space="preserve">1. Go to Statements
2. Select date range
3. Choose PDF
4. Click Download</t>
  </si>
  <si>
    <t xml:space="preserve">From: 01-Jan-2026
To: 31-Mar-2026</t>
  </si>
  <si>
    <t xml:space="preserve">PDF file downloaded with all transactions</t>
  </si>
  <si>
    <t xml:space="preserve">PDF downloaded</t>
  </si>
  <si>
    <t xml:space="preserve">Verify PDF content</t>
  </si>
  <si>
    <t xml:space="preserve">TC-011</t>
  </si>
  <si>
    <t xml:space="preserve">Pay electricity bill</t>
  </si>
  <si>
    <t xml:space="preserve">Login, BESCOM added</t>
  </si>
  <si>
    <t xml:space="preserve">1. Go to Bill Pay
2. Select BESCOM
3. Enter consumer no.
4. Enter amount
5. Pay</t>
  </si>
  <si>
    <t xml:space="preserve">Consumer: 12345678
Amt: ₹2,400</t>
  </si>
  <si>
    <t xml:space="preserve">Bill paid, receipt with ref no. shown</t>
  </si>
  <si>
    <t xml:space="preserve">Payment confirmed</t>
  </si>
  <si>
    <t xml:space="preserve">Third-party BBPS</t>
  </si>
  <si>
    <t xml:space="preserve">TC-012</t>
  </si>
  <si>
    <t xml:space="preserve">Insufficient balance</t>
  </si>
  <si>
    <t xml:space="preserve">1. Go to Bill Pay
2. Enter bill amount &gt; balance
3. Submit</t>
  </si>
  <si>
    <t xml:space="preserve">Bill: ₹10,000
Balance: ₹2,000</t>
  </si>
  <si>
    <t xml:space="preserve">Error: 'Insufficient funds'</t>
  </si>
  <si>
    <t xml:space="preserve">TC-013</t>
  </si>
  <si>
    <t xml:space="preserve">Apply personal loan</t>
  </si>
  <si>
    <t xml:space="preserve">Login, KYC complete</t>
  </si>
  <si>
    <t xml:space="preserve">1. Go to Loans
2. Select Personal Loan
3. Fill application
4. Upload docs
5. Submit</t>
  </si>
  <si>
    <t xml:space="preserve">Amt: ₹1,00,000
Tenure: 24mo
Income: ₹50,000</t>
  </si>
  <si>
    <t xml:space="preserve">Application submitted, Loan ID generated</t>
  </si>
  <si>
    <t xml:space="preserve">Loan ID generated</t>
  </si>
  <si>
    <t xml:space="preserve">End-to-end flow</t>
  </si>
  <si>
    <t xml:space="preserve">TC-014</t>
  </si>
  <si>
    <t xml:space="preserve">Create new FD</t>
  </si>
  <si>
    <t xml:space="preserve">Login, savings balance ≥ ₹50,000</t>
  </si>
  <si>
    <t xml:space="preserve">1. Go to FD
2. Enter ₹50,000
3. Select 12 months
4. Choose payout: Monthly
5. Confirm</t>
  </si>
  <si>
    <t xml:space="preserve">Principal: ₹50,000
Tenure: 12 months
Rate: 7.5%</t>
  </si>
  <si>
    <t xml:space="preserve">FD created, FD certificate generated</t>
  </si>
  <si>
    <t xml:space="preserve">FD created</t>
  </si>
  <si>
    <t xml:space="preserve">Interest calculation check</t>
  </si>
  <si>
    <t xml:space="preserve">TC-015</t>
  </si>
  <si>
    <t xml:space="preserve">Block debit card</t>
  </si>
  <si>
    <t xml:space="preserve">Login, active card</t>
  </si>
  <si>
    <t xml:space="preserve">1. Go to Cards
2. Select Debit Card ending 4567
3. Click Block
4. Select reason
5. Confirm</t>
  </si>
  <si>
    <t xml:space="preserve">Card: ****4567</t>
  </si>
  <si>
    <t xml:space="preserve">Card blocked immediately, SMS confirmation</t>
  </si>
  <si>
    <t xml:space="preserve">Card blocked</t>
  </si>
  <si>
    <t xml:space="preserve">Critical security action</t>
  </si>
  <si>
    <t xml:space="preserve">TC-016</t>
  </si>
  <si>
    <t xml:space="preserve">Change ATM PIN</t>
  </si>
  <si>
    <t xml:space="preserve">1. Go to Cards
2. Click Change PIN
3. Enter old PIN
4. Enter new PIN
5. Confirm</t>
  </si>
  <si>
    <t xml:space="preserve">Old PIN: 1234
New PIN: 5678</t>
  </si>
  <si>
    <t xml:space="preserve">PIN changed successfully, confirmation shown</t>
  </si>
  <si>
    <t xml:space="preserve">PIN changed</t>
  </si>
  <si>
    <t xml:space="preserve">Encrypted channel verify</t>
  </si>
  <si>
    <t xml:space="preserve">TC-017</t>
  </si>
  <si>
    <t xml:space="preserve">Update mobile number</t>
  </si>
  <si>
    <t xml:space="preserve">1. Go to Profile
2. Edit mobile no.
3. Enter new number
4. Enter OTP
5. Save</t>
  </si>
  <si>
    <t xml:space="preserve">New Mobile: 9876543210
OTP: 456789</t>
  </si>
  <si>
    <t xml:space="preserve">Mobile updated, SMS confirmation sent</t>
  </si>
  <si>
    <t xml:space="preserve">Mobile updated</t>
  </si>
  <si>
    <t xml:space="preserve">OTP flow validation</t>
  </si>
  <si>
    <t xml:space="preserve">TC-018</t>
  </si>
  <si>
    <t xml:space="preserve">SMS on debit</t>
  </si>
  <si>
    <t xml:space="preserve">Login, valid mobile linked</t>
  </si>
  <si>
    <t xml:space="preserve">1. Perform ₹1,000 debit transaction
2. Check registered mobile for SMS</t>
  </si>
  <si>
    <t xml:space="preserve">Debit: ₹1,000 from SAV001</t>
  </si>
  <si>
    <t xml:space="preserve">SMS received within 30 seconds of transaction</t>
  </si>
  <si>
    <t xml:space="preserve">SMS received</t>
  </si>
  <si>
    <t xml:space="preserve">Real-time alert</t>
  </si>
  <si>
    <t xml:space="preserve">TC-019</t>
  </si>
  <si>
    <t xml:space="preserve">Auto logout</t>
  </si>
  <si>
    <t xml:space="preserve">1. Login successfully
2. Leave app idle for 5 minutes
3. Try to perform any action</t>
  </si>
  <si>
    <t xml:space="preserve">Idle time: 5 minutes</t>
  </si>
  <si>
    <t xml:space="preserve">'Session expired' shown, redirected to login</t>
  </si>
  <si>
    <t xml:space="preserve">Session expired</t>
  </si>
  <si>
    <t xml:space="preserve">Timeout policy</t>
  </si>
  <si>
    <t xml:space="preserve">TC-020</t>
  </si>
  <si>
    <t xml:space="preserve">3G login speed</t>
  </si>
  <si>
    <t xml:space="preserve">3G network throttled</t>
  </si>
  <si>
    <t xml:space="preserve">1. Set network to 3G
2. Navigate to login page
3. Enter credentials
4. Time the load</t>
  </si>
  <si>
    <t xml:space="preserve">Network: 3G ~1Mbps
Benchmark: &lt;5 sec</t>
  </si>
  <si>
    <t xml:space="preserve">Login page and dashboard load within 5 seconds</t>
  </si>
  <si>
    <t xml:space="preserve">Loaded in 4.2s</t>
  </si>
  <si>
    <t xml:space="preserve">Performance benchmark</t>
  </si>
  <si>
    <t xml:space="preserve">TC-021</t>
  </si>
  <si>
    <t xml:space="preserve">Premature closure</t>
  </si>
  <si>
    <t xml:space="preserve">Active FD 6 months old</t>
  </si>
  <si>
    <t xml:space="preserve">1. Go to FD section
2. Select active FD
3. Request premature closure
4. Confirm</t>
  </si>
  <si>
    <t xml:space="preserve">FD: 6 months (12-mo tenure)
Penalty: 1%</t>
  </si>
  <si>
    <t xml:space="preserve">Closure processed with 1% penalty, net amount shown</t>
  </si>
  <si>
    <t xml:space="preserve">Closure processed</t>
  </si>
  <si>
    <t xml:space="preserve">Penalty calculation</t>
  </si>
  <si>
    <t xml:space="preserve">TC-022</t>
  </si>
  <si>
    <t xml:space="preserve">2FA OTP login</t>
  </si>
  <si>
    <t xml:space="preserve">OTP service active</t>
  </si>
  <si>
    <t xml:space="preserve">1. Enter valid credentials
2. Wait for OTP SMS
3. Enter OTP within 2 mins
4. Login</t>
  </si>
  <si>
    <t xml:space="preserve">User: user@bank.com
OTP: 345678</t>
  </si>
  <si>
    <t xml:space="preserve">Successful login after OTP verification</t>
  </si>
  <si>
    <t xml:space="preserve">Login success</t>
  </si>
  <si>
    <t xml:space="preserve">2FA validation</t>
  </si>
  <si>
    <t xml:space="preserve">TC-023</t>
  </si>
  <si>
    <t xml:space="preserve">IMPS instant transfer</t>
  </si>
  <si>
    <t xml:space="preserve">Login, beneficiary added</t>
  </si>
  <si>
    <t xml:space="preserve">1. Go to IMPS transfer
2. Select beneficiary
3. Enter ₹15,000
4. Confirm</t>
  </si>
  <si>
    <t xml:space="preserve">Beneficiary: IMPS enabled
Amt: ₹15,000</t>
  </si>
  <si>
    <t xml:space="preserve">Transfer completed instantly, ref no. shown</t>
  </si>
  <si>
    <t xml:space="preserve">IMPS success</t>
  </si>
  <si>
    <t xml:space="preserve">24x7 IMPS check</t>
  </si>
  <si>
    <t xml:space="preserve">TC-024</t>
  </si>
  <si>
    <t xml:space="preserve">Request cheque book</t>
  </si>
  <si>
    <t xml:space="preserve">Login, savings account</t>
  </si>
  <si>
    <t xml:space="preserve">1. Go to Cheque Services
2. Select Request Cheque Book
3. Select 25 leaves
4. Submit</t>
  </si>
  <si>
    <t xml:space="preserve">Account: SAV001
Leaves: 25</t>
  </si>
  <si>
    <t xml:space="preserve">Request submitted, tracking ID generated</t>
  </si>
  <si>
    <t xml:space="preserve">Request placed</t>
  </si>
  <si>
    <t xml:space="preserve">Postal delivery</t>
  </si>
  <si>
    <t xml:space="preserve">TC-025</t>
  </si>
  <si>
    <t xml:space="preserve">Screen reader test</t>
  </si>
  <si>
    <t xml:space="preserve">Screen reader enabled</t>
  </si>
  <si>
    <t xml:space="preserve">1. Enable TalkBack/VoiceOver
2. Navigate Login → Balance → Transfer screens</t>
  </si>
  <si>
    <t xml:space="preserve">Screen reader: TalkBack (Android)</t>
  </si>
  <si>
    <t xml:space="preserve">All buttons, labels, and fields are announced correctly</t>
  </si>
  <si>
    <t xml:space="preserve">All labels read</t>
  </si>
  <si>
    <t xml:space="preserve">WCAG 2.1 AA</t>
  </si>
  <si>
    <t xml:space="preserve">STEP 6 — Environment Setup &amp; Build Deployment</t>
  </si>
  <si>
    <t xml:space="preserve">Parameter</t>
  </si>
  <si>
    <t xml:space="preserve">SIT Environment</t>
  </si>
  <si>
    <t xml:space="preserve">UAT Environment</t>
  </si>
  <si>
    <t xml:space="preserve">Production (Ref)</t>
  </si>
  <si>
    <t xml:space="preserve">SIT (System Integration Testing)</t>
  </si>
  <si>
    <t xml:space="preserve">UAT (User Acceptance Testing)</t>
  </si>
  <si>
    <t xml:space="preserve">Production (Reference)</t>
  </si>
  <si>
    <t xml:space="preserve">URL</t>
  </si>
  <si>
    <t xml:space="preserve">https://sit.bankingapp.internal</t>
  </si>
  <si>
    <t xml:space="preserve">https://uat.bankingapp.internal</t>
  </si>
  <si>
    <t xml:space="preserve">https://app.mybank.com</t>
  </si>
  <si>
    <t xml:space="preserve">Server</t>
  </si>
  <si>
    <t xml:space="preserve">Linux RHEL 8 — 16GB RAM</t>
  </si>
  <si>
    <t xml:space="preserve">Linux RHEL 8 — 32GB RAM</t>
  </si>
  <si>
    <t xml:space="preserve">Cloud AWS — Auto Scale</t>
  </si>
  <si>
    <t xml:space="preserve">Database</t>
  </si>
  <si>
    <t xml:space="preserve">Oracle 19c — SIT Schema</t>
  </si>
  <si>
    <t xml:space="preserve">Oracle 19c — UAT Schema</t>
  </si>
  <si>
    <t xml:space="preserve">Oracle 19c — PROD</t>
  </si>
  <si>
    <t xml:space="preserve">Browser Support</t>
  </si>
  <si>
    <t xml:space="preserve">Chrome 120+, Firefox 118+</t>
  </si>
  <si>
    <t xml:space="preserve">Chrome 120+, Firefox 118+, Safari 16+</t>
  </si>
  <si>
    <t xml:space="preserve">All modern browsers</t>
  </si>
  <si>
    <t xml:space="preserve">Mobile OS</t>
  </si>
  <si>
    <t xml:space="preserve">Android 12, iOS 15</t>
  </si>
  <si>
    <t xml:space="preserve">Android 12+, iOS 15+</t>
  </si>
  <si>
    <t xml:space="preserve">Android 10+, iOS 14+</t>
  </si>
  <si>
    <t xml:space="preserve">Build Version</t>
  </si>
  <si>
    <t xml:space="preserve">v1.0.0-SIT-RC3</t>
  </si>
  <si>
    <t xml:space="preserve">v1.0.0-UAT-RC1</t>
  </si>
  <si>
    <t xml:space="preserve">v1.0.0 (Post sign-off)</t>
  </si>
  <si>
    <t xml:space="preserve">Smoke Test Status</t>
  </si>
  <si>
    <t xml:space="preserve">Pass ✅</t>
  </si>
  <si>
    <t xml:space="preserve">Deployment Date</t>
  </si>
  <si>
    <t xml:space="preserve">10-Apr-2026</t>
  </si>
  <si>
    <t xml:space="preserve">11-Apr-2026</t>
  </si>
  <si>
    <t xml:space="preserve">Post UAT sign-off</t>
  </si>
  <si>
    <t xml:space="preserve">Admin Access</t>
  </si>
  <si>
    <t xml:space="preserve">qa_admin / QA@sit#2026</t>
  </si>
  <si>
    <t xml:space="preserve">qa_uat / QA@uat#2026</t>
  </si>
  <si>
    <t xml:space="preserve">Restricted</t>
  </si>
  <si>
    <t xml:space="preserve">Synthetic data by BA team</t>
  </si>
  <si>
    <t xml:space="preserve">Masked production data</t>
  </si>
  <si>
    <t xml:space="preserve">Real data</t>
  </si>
  <si>
    <t xml:space="preserve">Environment Owner</t>
  </si>
  <si>
    <t xml:space="preserve">DevOps Team</t>
  </si>
  <si>
    <t xml:space="preserve">UAT Lead + BA</t>
  </si>
  <si>
    <t xml:space="preserve">Prod Support Team</t>
  </si>
  <si>
    <t xml:space="preserve">Smoke Test Checklist</t>
  </si>
  <si>
    <t xml:space="preserve">Check ID</t>
  </si>
  <si>
    <t xml:space="preserve">Smoke Test Item</t>
  </si>
  <si>
    <t xml:space="preserve">STK-001</t>
  </si>
  <si>
    <t xml:space="preserve">Application URL accessible</t>
  </si>
  <si>
    <t xml:space="preserve">STK-002</t>
  </si>
  <si>
    <t xml:space="preserve">Login page loads correctly</t>
  </si>
  <si>
    <t xml:space="preserve">STK-003</t>
  </si>
  <si>
    <t xml:space="preserve">Valid login works</t>
  </si>
  <si>
    <t xml:space="preserve">STK-004</t>
  </si>
  <si>
    <t xml:space="preserve">Dashboard renders without errors</t>
  </si>
  <si>
    <t xml:space="preserve">STK-005</t>
  </si>
  <si>
    <t xml:space="preserve">Account balance API responding</t>
  </si>
  <si>
    <t xml:space="preserve">STK-006</t>
  </si>
  <si>
    <t xml:space="preserve">Fund transfer page accessible</t>
  </si>
  <si>
    <t xml:space="preserve">STK-007</t>
  </si>
  <si>
    <t xml:space="preserve">Database connectivity confirmed</t>
  </si>
  <si>
    <t xml:space="preserve">STK-008</t>
  </si>
  <si>
    <t xml:space="preserve">SMS gateway connectivity</t>
  </si>
  <si>
    <t xml:space="preserve">STEP 7 — Test Execution Report</t>
  </si>
  <si>
    <t xml:space="preserve">Tester</t>
  </si>
  <si>
    <t xml:space="preserve">Exec Date</t>
  </si>
  <si>
    <t xml:space="preserve">Build Ver.</t>
  </si>
  <si>
    <t xml:space="preserve">Defect ID</t>
  </si>
  <si>
    <t xml:space="preserve">Comments</t>
  </si>
  <si>
    <t xml:space="preserve">Kavitha R.</t>
  </si>
  <si>
    <t xml:space="preserve">v1.0-RC3</t>
  </si>
  <si>
    <t xml:space="preserve">—</t>
  </si>
  <si>
    <t xml:space="preserve">Smoke test</t>
  </si>
  <si>
    <t xml:space="preserve">Lockout verified</t>
  </si>
  <si>
    <t xml:space="preserve">Ravi K.</t>
  </si>
  <si>
    <t xml:space="preserve">Core flow</t>
  </si>
  <si>
    <t xml:space="preserve">NEFT verified</t>
  </si>
  <si>
    <t xml:space="preserve">Boundary test</t>
  </si>
  <si>
    <t xml:space="preserve">Sneha M.</t>
  </si>
  <si>
    <t xml:space="preserve">Security check</t>
  </si>
  <si>
    <t xml:space="preserve">Balance correct</t>
  </si>
  <si>
    <t xml:space="preserve">PDF verified</t>
  </si>
  <si>
    <t xml:space="preserve">BBPS integration</t>
  </si>
  <si>
    <t xml:space="preserve">Insufficient bal</t>
  </si>
  <si>
    <t xml:space="preserve">OTP flow ok</t>
  </si>
  <si>
    <t xml:space="preserve">SMS in 10 sec</t>
  </si>
  <si>
    <t xml:space="preserve">Timeout works</t>
  </si>
  <si>
    <t xml:space="preserve">4.2s on 3G</t>
  </si>
  <si>
    <t xml:space="preserve">Penalty correct</t>
  </si>
  <si>
    <t xml:space="preserve">2FA success</t>
  </si>
  <si>
    <t xml:space="preserve">IMPS instant</t>
  </si>
  <si>
    <t xml:space="preserve">WCAG compliant</t>
  </si>
  <si>
    <t xml:space="preserve">EXECUTION SUMMARY</t>
  </si>
  <si>
    <t xml:space="preserve">STEP 8 — Bug Reporting &amp; Tracking</t>
  </si>
  <si>
    <t xml:space="preserve">Bug ID</t>
  </si>
  <si>
    <t xml:space="preserve">Bug Title</t>
  </si>
  <si>
    <t xml:space="preserve">Steps to Reproduce</t>
  </si>
  <si>
    <t xml:space="preserve">Expected</t>
  </si>
  <si>
    <t xml:space="preserve">Actual</t>
  </si>
  <si>
    <t xml:space="preserve">Assigned To</t>
  </si>
  <si>
    <t xml:space="preserve">BUG-001</t>
  </si>
  <si>
    <t xml:space="preserve">Account not locked after 3 failed attempts in some browsers</t>
  </si>
  <si>
    <t xml:space="preserve">1. Use Firefox
2. Enter wrong password 3 times
3. Observe</t>
  </si>
  <si>
    <t xml:space="preserve">Account should lock</t>
  </si>
  <si>
    <t xml:space="preserve">Account remains active — no lockout</t>
  </si>
  <si>
    <t xml:space="preserve">Fixed</t>
  </si>
  <si>
    <t xml:space="preserve">Dev: Arjun N.</t>
  </si>
  <si>
    <t xml:space="preserve">BUG-002</t>
  </si>
  <si>
    <t xml:space="preserve">MPIN accepted even after 5 wrong entries without blocking UPI</t>
  </si>
  <si>
    <t xml:space="preserve">1. Enter wrong MPIN 5 times
2. Observe behavior</t>
  </si>
  <si>
    <t xml:space="preserve">UPI blocked after 3 wrong MPINs</t>
  </si>
  <si>
    <t xml:space="preserve">UPI not blocked — no limit enforced</t>
  </si>
  <si>
    <t xml:space="preserve">Dev: Priya S.</t>
  </si>
  <si>
    <t xml:space="preserve">BUG-003</t>
  </si>
  <si>
    <t xml:space="preserve">Beneficiary name not displayed in NEFT confirmation screen</t>
  </si>
  <si>
    <t xml:space="preserve">1. Initiate NEFT to beneficiary
2. Go to confirmation screen</t>
  </si>
  <si>
    <t xml:space="preserve">Beneficiary name shown</t>
  </si>
  <si>
    <t xml:space="preserve">Only account number shown, name missing</t>
  </si>
  <si>
    <t xml:space="preserve">Major</t>
  </si>
  <si>
    <t xml:space="preserve">BUG-004</t>
  </si>
  <si>
    <t xml:space="preserve">PDF statement shows wrong date format (MM/DD instead of DD/MM)</t>
  </si>
  <si>
    <t xml:space="preserve">1. Download PDF statement
2. Check transaction dates</t>
  </si>
  <si>
    <t xml:space="preserve">Date: DD/MM/YYYY</t>
  </si>
  <si>
    <t xml:space="preserve">Date shown as MM/DD/YYYY</t>
  </si>
  <si>
    <t xml:space="preserve">Minor</t>
  </si>
  <si>
    <t xml:space="preserve">Dev: Ravi K.</t>
  </si>
  <si>
    <t xml:space="preserve">BUG-005</t>
  </si>
  <si>
    <t xml:space="preserve">SMS alert delayed by over 5 minutes for NEFT transactions</t>
  </si>
  <si>
    <t xml:space="preserve">1. Do NEFT transfer
2. Wait for SMS
3. Record time</t>
  </si>
  <si>
    <t xml:space="preserve">SMS in &lt;30 seconds</t>
  </si>
  <si>
    <t xml:space="preserve">SMS arrived after 7 minutes</t>
  </si>
  <si>
    <t xml:space="preserve">Dev: Infra Team</t>
  </si>
  <si>
    <t xml:space="preserve">BUG-006</t>
  </si>
  <si>
    <t xml:space="preserve">EMI calculator shows incorrect value for tenures above 36 months</t>
  </si>
  <si>
    <t xml:space="preserve">1. Enter loan ₹5,00,000
2. Select 48 months tenure
3. Calculate EMI</t>
  </si>
  <si>
    <t xml:space="preserve">Correct EMI shown</t>
  </si>
  <si>
    <t xml:space="preserve">EMI figure is wrong — off by 20%</t>
  </si>
  <si>
    <t xml:space="preserve">Dev: Sneha M.</t>
  </si>
  <si>
    <t xml:space="preserve">BUG-007</t>
  </si>
  <si>
    <t xml:space="preserve">Email update allowed without OTP verification</t>
  </si>
  <si>
    <t xml:space="preserve">1. Go to Profile
2. Change email
3. Save without OTP</t>
  </si>
  <si>
    <t xml:space="preserve">OTP should be required</t>
  </si>
  <si>
    <t xml:space="preserve">Email saved without OTP verification</t>
  </si>
  <si>
    <t xml:space="preserve">Dev: Security Team</t>
  </si>
  <si>
    <t xml:space="preserve">BUG-008</t>
  </si>
  <si>
    <t xml:space="preserve">Card block confirmation SMS not sent after blocking</t>
  </si>
  <si>
    <t xml:space="preserve">1. Block debit card
2. Check registered mobile</t>
  </si>
  <si>
    <t xml:space="preserve">SMS confirmation within 1 minute</t>
  </si>
  <si>
    <t xml:space="preserve">No SMS received after card block</t>
  </si>
  <si>
    <t xml:space="preserve">BUG-009</t>
  </si>
  <si>
    <t xml:space="preserve">Premature closure penalty not calculated correctly</t>
  </si>
  <si>
    <t xml:space="preserve">1. Create 12-month FD
2. Close after 6 months
3. Check penalty</t>
  </si>
  <si>
    <t xml:space="preserve">1% penalty deducted</t>
  </si>
  <si>
    <t xml:space="preserve">Penalty not applied — full amount paid</t>
  </si>
  <si>
    <t xml:space="preserve">BUG-010</t>
  </si>
  <si>
    <t xml:space="preserve">Session does not expire on iOS Safari after inactivity</t>
  </si>
  <si>
    <t xml:space="preserve">1. Login on iOS Safari
2. Leave idle for 10 minutes
3. Tap screen</t>
  </si>
  <si>
    <t xml:space="preserve">Session expired, redirect to login</t>
  </si>
  <si>
    <t xml:space="preserve">Session still active — no timeout</t>
  </si>
  <si>
    <t xml:space="preserve">Dev: Mobile Team</t>
  </si>
  <si>
    <t xml:space="preserve">BUG-011</t>
  </si>
  <si>
    <t xml:space="preserve">Bill payment screen crashes on Android 12 for DTH category</t>
  </si>
  <si>
    <t xml:space="preserve">1. Go to Bill Pay on Android 12
2. Select DTH
3. Select provider</t>
  </si>
  <si>
    <t xml:space="preserve">Provider list shown</t>
  </si>
  <si>
    <t xml:space="preserve">App crashes immediately</t>
  </si>
  <si>
    <t xml:space="preserve">BUG-012</t>
  </si>
  <si>
    <t xml:space="preserve">Transfer limit validation only checks one direction for IMPS</t>
  </si>
  <si>
    <t xml:space="preserve">1. Set daily limit ₹50,000
2. Try ₹30,000 IMPS twice
3. Second should be blocked</t>
  </si>
  <si>
    <t xml:space="preserve">2nd transfer blocked if total &gt; limit</t>
  </si>
  <si>
    <t xml:space="preserve">Both transfers succeeded — limit not cumulative</t>
  </si>
  <si>
    <t xml:space="preserve">STEP 9 — Sanity, Re-testing &amp; Regression Testing</t>
  </si>
  <si>
    <t xml:space="preserve">Sanity Testing — Quick Health Check After New Build</t>
  </si>
  <si>
    <t xml:space="preserve">Sanity ID</t>
  </si>
  <si>
    <t xml:space="preserve">Area Checked</t>
  </si>
  <si>
    <t xml:space="preserve">Check Description</t>
  </si>
  <si>
    <t xml:space="preserve">Result</t>
  </si>
  <si>
    <t xml:space="preserve">SAN-001</t>
  </si>
  <si>
    <t xml:space="preserve">Login</t>
  </si>
  <si>
    <t xml:space="preserve">Verify login works after build deployment</t>
  </si>
  <si>
    <t xml:space="preserve">Kavitha</t>
  </si>
  <si>
    <t xml:space="preserve">SAN-002</t>
  </si>
  <si>
    <t xml:space="preserve">Dashboard</t>
  </si>
  <si>
    <t xml:space="preserve">Dashboard loads without JS errors</t>
  </si>
  <si>
    <t xml:space="preserve">SAN-003</t>
  </si>
  <si>
    <t xml:space="preserve">Basic transfer between own accounts</t>
  </si>
  <si>
    <t xml:space="preserve">Ravi</t>
  </si>
  <si>
    <t xml:space="preserve">SAN-004</t>
  </si>
  <si>
    <t xml:space="preserve">Balance</t>
  </si>
  <si>
    <t xml:space="preserve">Account balance displays correctly</t>
  </si>
  <si>
    <t xml:space="preserve">SAN-005</t>
  </si>
  <si>
    <t xml:space="preserve">UPI</t>
  </si>
  <si>
    <t xml:space="preserve">UPI payment to registered ID works</t>
  </si>
  <si>
    <t xml:space="preserve">Sneha</t>
  </si>
  <si>
    <t xml:space="preserve">SAN-006</t>
  </si>
  <si>
    <t xml:space="preserve">SMS alert received on test transaction</t>
  </si>
  <si>
    <t xml:space="preserve">Re-testing — Verify Bug Fixes</t>
  </si>
  <si>
    <t xml:space="preserve">Re-test ID</t>
  </si>
  <si>
    <t xml:space="preserve">Fix Verified?</t>
  </si>
  <si>
    <t xml:space="preserve">Re-test Result</t>
  </si>
  <si>
    <t xml:space="preserve">RT-001</t>
  </si>
  <si>
    <t xml:space="preserve">Yes</t>
  </si>
  <si>
    <t xml:space="preserve">RT-002</t>
  </si>
  <si>
    <t xml:space="preserve">RT-003</t>
  </si>
  <si>
    <t xml:space="preserve">RT-004</t>
  </si>
  <si>
    <t xml:space="preserve">RT-005</t>
  </si>
  <si>
    <t xml:space="preserve">RT-006</t>
  </si>
  <si>
    <t xml:space="preserve">RT-007</t>
  </si>
  <si>
    <t xml:space="preserve">RT-008</t>
  </si>
  <si>
    <t xml:space="preserve">Regression Testing — Impacted Areas After Fixes</t>
  </si>
  <si>
    <t xml:space="preserve">Reg ID</t>
  </si>
  <si>
    <t xml:space="preserve">Impacted Feature</t>
  </si>
  <si>
    <t xml:space="preserve">Test Case Executed</t>
  </si>
  <si>
    <t xml:space="preserve">Regression Result</t>
  </si>
  <si>
    <t xml:space="preserve">Notes</t>
  </si>
  <si>
    <t xml:space="preserve">REG-001</t>
  </si>
  <si>
    <t xml:space="preserve">TC-001,TC-002,TC-003</t>
  </si>
  <si>
    <t xml:space="preserve">Auth module regression</t>
  </si>
  <si>
    <t xml:space="preserve">REG-002</t>
  </si>
  <si>
    <t xml:space="preserve">TC-004,TC-005,TC-006</t>
  </si>
  <si>
    <t xml:space="preserve">Transfer limits re-verified</t>
  </si>
  <si>
    <t xml:space="preserve">REG-003</t>
  </si>
  <si>
    <t xml:space="preserve">TC-007,TC-008</t>
  </si>
  <si>
    <t xml:space="preserve">MPIN security re-checked</t>
  </si>
  <si>
    <t xml:space="preserve">REG-004</t>
  </si>
  <si>
    <t xml:space="preserve">OTP bypass fix verified</t>
  </si>
  <si>
    <t xml:space="preserve">REG-005</t>
  </si>
  <si>
    <t xml:space="preserve">TC-014,TC-021</t>
  </si>
  <si>
    <t xml:space="preserve">Penalty calculation fixed</t>
  </si>
  <si>
    <t xml:space="preserve">REG-006</t>
  </si>
  <si>
    <t xml:space="preserve">iOS Safari timeout fixed</t>
  </si>
  <si>
    <t xml:space="preserve">REG-007</t>
  </si>
  <si>
    <t xml:space="preserve">TC-018,TC-022</t>
  </si>
  <si>
    <t xml:space="preserve">SMS delivery verified</t>
  </si>
  <si>
    <t xml:space="preserve">STEP 10 — Test Sign Off &amp; Summary Report</t>
  </si>
  <si>
    <t xml:space="preserve">Test Execution Summary</t>
  </si>
  <si>
    <t xml:space="preserve">25</t>
  </si>
  <si>
    <t xml:space="preserve">Executed</t>
  </si>
  <si>
    <t xml:space="preserve">Passed</t>
  </si>
  <si>
    <t xml:space="preserve">Failed</t>
  </si>
  <si>
    <t xml:space="preserve">0</t>
  </si>
  <si>
    <t xml:space="preserve">Blocked</t>
  </si>
  <si>
    <t xml:space="preserve">Not Executed</t>
  </si>
  <si>
    <t xml:space="preserve">Pass %</t>
  </si>
  <si>
    <t xml:space="preserve">100%</t>
  </si>
  <si>
    <t xml:space="preserve">Critical Defects Open</t>
  </si>
  <si>
    <t xml:space="preserve">Total Defects Logged</t>
  </si>
  <si>
    <t xml:space="preserve">12</t>
  </si>
  <si>
    <t xml:space="preserve">Total Defects Fixed</t>
  </si>
  <si>
    <t xml:space="preserve">Defect Fix Rate</t>
  </si>
  <si>
    <t xml:space="preserve">Test Summary Observations</t>
  </si>
  <si>
    <t xml:space="preserve">• All 25 test cases executed successfully across 15 banking features.</t>
  </si>
  <si>
    <t xml:space="preserve">• 12 defects identified during testing — all 12 fixed and verified before sign-off.</t>
  </si>
  <si>
    <t xml:space="preserve">• Critical security issues (account lockout bypass, MPIN limit bypass, email OTP bypass) were found and fixed.</t>
  </si>
  <si>
    <t xml:space="preserve">• Performance benchmark met: login page loads in 4.2 seconds on 3G network (target: &lt;5s).</t>
  </si>
  <si>
    <t xml:space="preserve">• Accessibility tested per WCAG 2.1 AA standards — all screen reader labels verified.</t>
  </si>
  <si>
    <t xml:space="preserve">• Regression testing completed — no new defects introduced after bug fixes.</t>
  </si>
  <si>
    <t xml:space="preserve">• All 3rd-party integrations (BBPS, UPI, NEFT, SMS Gateway) verified in SIT and UAT.</t>
  </si>
  <si>
    <t xml:space="preserve">Sign-Off Approval</t>
  </si>
  <si>
    <t xml:space="preserve">Role</t>
  </si>
  <si>
    <t xml:space="preserve">Name</t>
  </si>
  <si>
    <t xml:space="preserve">Signature</t>
  </si>
  <si>
    <t xml:space="preserve">QA Lead</t>
  </si>
  <si>
    <t xml:space="preserve">Kavitha Reddy</t>
  </si>
  <si>
    <t xml:space="preserve">✅ Approved</t>
  </si>
  <si>
    <t xml:space="preserve">Test execution complete</t>
  </si>
  <si>
    <t xml:space="preserve">Business Analyst</t>
  </si>
  <si>
    <t xml:space="preserve">Priya Sharma</t>
  </si>
  <si>
    <t xml:space="preserve">Requirements met</t>
  </si>
  <si>
    <t xml:space="preserve">Product Owner</t>
  </si>
  <si>
    <t xml:space="preserve">Rajesh Kumar</t>
  </si>
  <si>
    <t xml:space="preserve">UAT sign-off granted</t>
  </si>
  <si>
    <t xml:space="preserve">Project Manager</t>
  </si>
  <si>
    <t xml:space="preserve">Suresh Patel</t>
  </si>
  <si>
    <t xml:space="preserve">Go-live approved</t>
  </si>
  <si>
    <t xml:space="preserve">Dev Lead</t>
  </si>
  <si>
    <t xml:space="preserve">Arjun Nair</t>
  </si>
  <si>
    <t xml:space="preserve">All defects fixed</t>
  </si>
  <si>
    <t xml:space="preserve">🎉  PROJECT SUCCESSFULLY COMPLETED — CLEARED FOR PRODUCTION DEPLOYMENT</t>
  </si>
</sst>
</file>

<file path=xl/styles.xml><?xml version="1.0" encoding="utf-8"?>
<styleSheet xmlns="http://schemas.openxmlformats.org/spreadsheetml/2006/main">
  <numFmts count="2">
    <numFmt numFmtId="164" formatCode="General"/>
    <numFmt numFmtId="165" formatCode="General"/>
  </numFmts>
  <fonts count="3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475569"/>
      <name val="Arial"/>
      <family val="0"/>
      <charset val="1"/>
    </font>
    <font>
      <b val="true"/>
      <sz val="10"/>
      <color rgb="FF1B3A6B"/>
      <name val="Arial"/>
      <family val="0"/>
      <charset val="1"/>
    </font>
    <font>
      <sz val="10"/>
      <name val="Arial"/>
      <family val="0"/>
      <charset val="1"/>
    </font>
    <font>
      <b val="true"/>
      <sz val="12"/>
      <color rgb="FFFFFFFF"/>
      <name val="Arial"/>
      <family val="0"/>
      <charset val="1"/>
    </font>
    <font>
      <b val="true"/>
      <sz val="10"/>
      <color rgb="FFFFFFFF"/>
      <name val="Arial"/>
      <family val="0"/>
      <charset val="1"/>
    </font>
    <font>
      <sz val="10"/>
      <color rgb="FF1E293B"/>
      <name val="Arial"/>
      <family val="0"/>
      <charset val="1"/>
    </font>
    <font>
      <b val="true"/>
      <sz val="13"/>
      <color rgb="FFFFFFFF"/>
      <name val="Arial"/>
      <family val="0"/>
      <charset val="1"/>
    </font>
    <font>
      <sz val="9"/>
      <color rgb="FF1E293B"/>
      <name val="Arial"/>
      <family val="0"/>
      <charset val="1"/>
    </font>
    <font>
      <b val="true"/>
      <sz val="9"/>
      <color rgb="FF991B1B"/>
      <name val="Arial"/>
      <family val="0"/>
      <charset val="1"/>
    </font>
    <font>
      <b val="true"/>
      <sz val="9"/>
      <color rgb="FF1E293B"/>
      <name val="Arial"/>
      <family val="0"/>
      <charset val="1"/>
    </font>
    <font>
      <b val="true"/>
      <sz val="11"/>
      <color rgb="FFFFFFFF"/>
      <name val="Arial"/>
      <family val="0"/>
      <charset val="1"/>
    </font>
    <font>
      <sz val="9"/>
      <color rgb="FF166534"/>
      <name val="Arial"/>
      <family val="0"/>
      <charset val="1"/>
    </font>
    <font>
      <b val="true"/>
      <sz val="9"/>
      <color rgb="FF166534"/>
      <name val="Arial"/>
      <family val="0"/>
      <charset val="1"/>
    </font>
    <font>
      <b val="true"/>
      <sz val="9"/>
      <name val="Arial"/>
      <family val="0"/>
      <charset val="1"/>
    </font>
    <font>
      <sz val="9"/>
      <name val="Arial"/>
      <family val="0"/>
      <charset val="1"/>
    </font>
    <font>
      <b val="true"/>
      <sz val="8"/>
      <color rgb="FF1E293B"/>
      <name val="Arial"/>
      <family val="0"/>
      <charset val="1"/>
    </font>
    <font>
      <sz val="8"/>
      <color rgb="FF1E293B"/>
      <name val="Arial"/>
      <family val="0"/>
      <charset val="1"/>
    </font>
    <font>
      <b val="true"/>
      <sz val="8"/>
      <color rgb="FF166534"/>
      <name val="Arial"/>
      <family val="0"/>
      <charset val="1"/>
    </font>
    <font>
      <b val="true"/>
      <sz val="10"/>
      <name val="Arial"/>
      <family val="0"/>
      <charset val="1"/>
    </font>
    <font>
      <sz val="10"/>
      <color rgb="FF991B1B"/>
      <name val="Arial"/>
      <family val="0"/>
      <charset val="1"/>
    </font>
    <font>
      <b val="true"/>
      <sz val="10"/>
      <color rgb="FF166534"/>
      <name val="Arial"/>
      <family val="0"/>
      <charset val="1"/>
    </font>
    <font>
      <b val="true"/>
      <sz val="8"/>
      <color rgb="FF991B1B"/>
      <name val="Arial"/>
      <family val="0"/>
      <charset val="1"/>
    </font>
    <font>
      <sz val="9"/>
      <color rgb="FF991B1B"/>
      <name val="Arial"/>
      <family val="0"/>
      <charset val="1"/>
    </font>
    <font>
      <b val="true"/>
      <sz val="14"/>
      <color rgb="FFFFFFFF"/>
      <name val="Arial"/>
      <family val="0"/>
      <charset val="1"/>
    </font>
    <font>
      <b val="true"/>
      <sz val="11"/>
      <color rgb="FF1B3A6B"/>
      <name val="Arial"/>
      <family val="0"/>
      <charset val="1"/>
    </font>
    <font>
      <b val="true"/>
      <sz val="11"/>
      <color rgb="FF166534"/>
      <name val="Arial"/>
      <family val="0"/>
      <charset val="1"/>
    </font>
    <font>
      <sz val="10"/>
      <color rgb="FF166534"/>
      <name val="Arial"/>
      <family val="0"/>
      <charset val="1"/>
    </font>
  </fonts>
  <fills count="18">
    <fill>
      <patternFill patternType="none"/>
    </fill>
    <fill>
      <patternFill patternType="gray125"/>
    </fill>
    <fill>
      <patternFill patternType="solid">
        <fgColor rgb="FF1B3A6B"/>
        <bgColor rgb="FF1E293B"/>
      </patternFill>
    </fill>
    <fill>
      <patternFill patternType="solid">
        <fgColor rgb="FFEFF6FF"/>
        <bgColor rgb="FFF1F5F9"/>
      </patternFill>
    </fill>
    <fill>
      <patternFill patternType="solid">
        <fgColor rgb="FFDBEAFE"/>
        <bgColor rgb="FFEDE9FE"/>
      </patternFill>
    </fill>
    <fill>
      <patternFill patternType="solid">
        <fgColor rgb="FFF1F5F9"/>
        <bgColor rgb="FFEFF6FF"/>
      </patternFill>
    </fill>
    <fill>
      <patternFill patternType="solid">
        <fgColor rgb="FFFFFFFF"/>
        <bgColor rgb="FFFFF7ED"/>
      </patternFill>
    </fill>
    <fill>
      <patternFill patternType="solid">
        <fgColor rgb="FF0F766E"/>
        <bgColor rgb="FF008080"/>
      </patternFill>
    </fill>
    <fill>
      <patternFill patternType="solid">
        <fgColor rgb="FFDCFCE7"/>
        <bgColor rgb="FFCCFBF1"/>
      </patternFill>
    </fill>
    <fill>
      <patternFill patternType="solid">
        <fgColor rgb="FFFEF9C3"/>
        <bgColor rgb="FFFFF7ED"/>
      </patternFill>
    </fill>
    <fill>
      <patternFill patternType="solid">
        <fgColor rgb="FFCCFBF1"/>
        <bgColor rgb="FFDCFCE7"/>
      </patternFill>
    </fill>
    <fill>
      <patternFill patternType="solid">
        <fgColor rgb="FFEDE9FE"/>
        <bgColor rgb="FFF1F5F9"/>
      </patternFill>
    </fill>
    <fill>
      <patternFill patternType="solid">
        <fgColor rgb="FFFFF7ED"/>
        <bgColor rgb="FFFFFFFF"/>
      </patternFill>
    </fill>
    <fill>
      <patternFill patternType="solid">
        <fgColor rgb="FF2563EB"/>
        <bgColor rgb="FF0066CC"/>
      </patternFill>
    </fill>
    <fill>
      <patternFill patternType="solid">
        <fgColor rgb="FFFEE2E2"/>
        <bgColor rgb="FFEDE9FE"/>
      </patternFill>
    </fill>
    <fill>
      <patternFill patternType="solid">
        <fgColor rgb="FF166534"/>
        <bgColor rgb="FF0F766E"/>
      </patternFill>
    </fill>
    <fill>
      <patternFill patternType="solid">
        <fgColor rgb="FF991B1B"/>
        <bgColor rgb="FF800000"/>
      </patternFill>
    </fill>
    <fill>
      <patternFill patternType="solid">
        <fgColor rgb="FF6D28D9"/>
        <bgColor rgb="FF800080"/>
      </patternFill>
    </fill>
  </fills>
  <borders count="5">
    <border diagonalUp="false" diagonalDown="false">
      <left/>
      <right/>
      <top/>
      <bottom/>
      <diagonal/>
    </border>
    <border diagonalUp="false" diagonalDown="false">
      <left style="thin">
        <color rgb="FFCBD5E1"/>
      </left>
      <right/>
      <top style="thin">
        <color rgb="FFCBD5E1"/>
      </top>
      <bottom style="thin">
        <color rgb="FFCBD5E1"/>
      </bottom>
      <diagonal/>
    </border>
    <border diagonalUp="false" diagonalDown="false">
      <left style="medium">
        <color rgb="FF64748B"/>
      </left>
      <right style="medium">
        <color rgb="FF64748B"/>
      </right>
      <top style="medium">
        <color rgb="FF64748B"/>
      </top>
      <bottom style="medium">
        <color rgb="FF64748B"/>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medium">
        <color rgb="FF64748B"/>
      </left>
      <right/>
      <top style="medium">
        <color rgb="FF64748B"/>
      </top>
      <bottom style="medium">
        <color rgb="FF64748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1" shrinkToFit="false"/>
      <protection locked="true" hidden="false"/>
    </xf>
    <xf numFmtId="164" fontId="7" fillId="5" borderId="1" xfId="0" applyFont="true" applyBorder="true" applyAlignment="true" applyProtection="false">
      <alignment horizontal="left" vertical="center" textRotation="0" wrapText="false" indent="1" shrinkToFit="false"/>
      <protection locked="true" hidden="false"/>
    </xf>
    <xf numFmtId="164" fontId="7" fillId="6" borderId="1" xfId="0" applyFont="true" applyBorder="true" applyAlignment="true" applyProtection="false">
      <alignment horizontal="left" vertical="center" textRotation="0" wrapText="false" indent="1" shrinkToFit="false"/>
      <protection locked="true" hidden="false"/>
    </xf>
    <xf numFmtId="164" fontId="8" fillId="7" borderId="0" xfId="0" applyFont="true" applyBorder="true" applyAlignment="true" applyProtection="false">
      <alignment horizontal="center" vertical="center" textRotation="0" wrapText="tru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4" fontId="6" fillId="4" borderId="3"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1" shrinkToFit="false"/>
      <protection locked="true" hidden="false"/>
    </xf>
    <xf numFmtId="164" fontId="10" fillId="4" borderId="1" xfId="0" applyFont="true" applyBorder="true" applyAlignment="true" applyProtection="false">
      <alignment horizontal="left" vertical="center" textRotation="0" wrapText="true" indent="1" shrinkToFit="false"/>
      <protection locked="true" hidden="false"/>
    </xf>
    <xf numFmtId="164" fontId="6" fillId="8" borderId="3"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true" indent="1" shrinkToFit="false"/>
      <protection locked="true" hidden="false"/>
    </xf>
    <xf numFmtId="164" fontId="10" fillId="8" borderId="1" xfId="0" applyFont="true" applyBorder="true" applyAlignment="true" applyProtection="false">
      <alignment horizontal="left" vertical="center" textRotation="0" wrapText="true" indent="1" shrinkToFit="false"/>
      <protection locked="true" hidden="false"/>
    </xf>
    <xf numFmtId="164" fontId="6" fillId="9" borderId="3"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1" shrinkToFit="false"/>
      <protection locked="true" hidden="false"/>
    </xf>
    <xf numFmtId="164" fontId="10" fillId="9" borderId="1" xfId="0" applyFont="true" applyBorder="true" applyAlignment="true" applyProtection="false">
      <alignment horizontal="left" vertical="center" textRotation="0" wrapText="true" indent="1" shrinkToFit="false"/>
      <protection locked="true" hidden="false"/>
    </xf>
    <xf numFmtId="164" fontId="6" fillId="10" borderId="3"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left" vertical="center" textRotation="0" wrapText="true" indent="1" shrinkToFit="false"/>
      <protection locked="true" hidden="false"/>
    </xf>
    <xf numFmtId="164" fontId="10" fillId="10" borderId="1" xfId="0" applyFont="true" applyBorder="true" applyAlignment="true" applyProtection="false">
      <alignment horizontal="left" vertical="center" textRotation="0" wrapText="true" indent="1" shrinkToFit="false"/>
      <protection locked="true" hidden="false"/>
    </xf>
    <xf numFmtId="164" fontId="6" fillId="11" borderId="3"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left" vertical="center" textRotation="0" wrapText="true" indent="1" shrinkToFit="false"/>
      <protection locked="true" hidden="false"/>
    </xf>
    <xf numFmtId="164" fontId="10" fillId="11" borderId="1" xfId="0" applyFont="true" applyBorder="true" applyAlignment="true" applyProtection="false">
      <alignment horizontal="left" vertical="center" textRotation="0" wrapText="true" indent="1" shrinkToFit="false"/>
      <protection locked="true" hidden="false"/>
    </xf>
    <xf numFmtId="164" fontId="6" fillId="12" borderId="3" xfId="0" applyFont="true" applyBorder="true" applyAlignment="true" applyProtection="false">
      <alignment horizontal="center" vertical="center" textRotation="0" wrapText="true" indent="0" shrinkToFit="false"/>
      <protection locked="true" hidden="false"/>
    </xf>
    <xf numFmtId="164" fontId="6" fillId="12" borderId="1" xfId="0" applyFont="true" applyBorder="true" applyAlignment="true" applyProtection="false">
      <alignment horizontal="left" vertical="center" textRotation="0" wrapText="true" indent="1" shrinkToFit="false"/>
      <protection locked="true" hidden="false"/>
    </xf>
    <xf numFmtId="164" fontId="10" fillId="12" borderId="1" xfId="0" applyFont="true" applyBorder="true" applyAlignment="true" applyProtection="false">
      <alignment horizontal="left" vertical="center" textRotation="0" wrapText="true" indent="1" shrinkToFit="false"/>
      <protection locked="true" hidden="false"/>
    </xf>
    <xf numFmtId="164" fontId="11" fillId="2" borderId="0" xfId="0" applyFont="true" applyBorder="true" applyAlignment="true" applyProtection="false">
      <alignment horizontal="center" vertical="center" textRotation="0" wrapText="true" indent="0" shrinkToFit="false"/>
      <protection locked="true" hidden="false"/>
    </xf>
    <xf numFmtId="164" fontId="9" fillId="7" borderId="4" xfId="0" applyFont="true" applyBorder="true" applyAlignment="true" applyProtection="false">
      <alignment horizontal="left" vertical="center" textRotation="0" wrapText="false" indent="1" shrinkToFit="false"/>
      <protection locked="true" hidden="false"/>
    </xf>
    <xf numFmtId="164" fontId="7" fillId="10" borderId="1" xfId="0" applyFont="true" applyBorder="true" applyAlignment="true" applyProtection="false">
      <alignment horizontal="left" vertical="center" textRotation="0" wrapText="true" indent="1"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13" borderId="2" xfId="0" applyFont="true" applyBorder="true" applyAlignment="true" applyProtection="false">
      <alignment horizontal="center" vertical="center" textRotation="0" wrapText="true" indent="0" shrinkToFit="false"/>
      <protection locked="true" hidden="false"/>
    </xf>
    <xf numFmtId="164" fontId="12" fillId="6" borderId="3" xfId="0" applyFont="true" applyBorder="true" applyAlignment="true" applyProtection="false">
      <alignment horizontal="center" vertical="center" textRotation="0" wrapText="true" indent="0" shrinkToFit="false"/>
      <protection locked="true" hidden="false"/>
    </xf>
    <xf numFmtId="164" fontId="12" fillId="6" borderId="3" xfId="0" applyFont="true" applyBorder="true" applyAlignment="true" applyProtection="false">
      <alignment horizontal="left" vertical="center" textRotation="0" wrapText="true" indent="1" shrinkToFit="false"/>
      <protection locked="true" hidden="false"/>
    </xf>
    <xf numFmtId="164" fontId="13" fillId="14" borderId="3" xfId="0" applyFont="true" applyBorder="true" applyAlignment="true" applyProtection="false">
      <alignment horizontal="center" vertical="center" textRotation="0" wrapText="true" indent="0" shrinkToFit="false"/>
      <protection locked="true" hidden="false"/>
    </xf>
    <xf numFmtId="164" fontId="12" fillId="5" borderId="3" xfId="0" applyFont="true" applyBorder="true" applyAlignment="true" applyProtection="false">
      <alignment horizontal="center" vertical="center" textRotation="0" wrapText="true" indent="0" shrinkToFit="false"/>
      <protection locked="true" hidden="false"/>
    </xf>
    <xf numFmtId="164" fontId="12" fillId="5" borderId="3" xfId="0" applyFont="true" applyBorder="true" applyAlignment="true" applyProtection="false">
      <alignment horizontal="left" vertical="center" textRotation="0" wrapText="true" indent="1" shrinkToFit="false"/>
      <protection locked="true" hidden="false"/>
    </xf>
    <xf numFmtId="164" fontId="14" fillId="9" borderId="3" xfId="0" applyFont="true" applyBorder="true" applyAlignment="true" applyProtection="false">
      <alignment horizontal="center" vertical="center" textRotation="0" wrapText="true" indent="0" shrinkToFit="false"/>
      <protection locked="true" hidden="false"/>
    </xf>
    <xf numFmtId="164" fontId="14" fillId="8" borderId="3" xfId="0" applyFont="true" applyBorder="true" applyAlignment="true" applyProtection="false">
      <alignment horizontal="center" vertical="center" textRotation="0" wrapText="true" indent="0" shrinkToFit="false"/>
      <protection locked="true" hidden="false"/>
    </xf>
    <xf numFmtId="164" fontId="14" fillId="4" borderId="3"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false" indent="1" shrinkToFit="false"/>
      <protection locked="true" hidden="false"/>
    </xf>
    <xf numFmtId="164" fontId="15" fillId="7" borderId="0" xfId="0" applyFont="true" applyBorder="true" applyAlignment="true" applyProtection="false">
      <alignment horizontal="center" vertical="center" textRotation="0" wrapText="true" indent="0" shrinkToFit="false"/>
      <protection locked="true" hidden="false"/>
    </xf>
    <xf numFmtId="164" fontId="16" fillId="6" borderId="3" xfId="0" applyFont="true" applyBorder="true" applyAlignment="true" applyProtection="false">
      <alignment horizontal="center" vertical="center" textRotation="0" wrapText="true" indent="0" shrinkToFit="false"/>
      <protection locked="true" hidden="false"/>
    </xf>
    <xf numFmtId="164" fontId="16" fillId="6" borderId="3" xfId="0" applyFont="true" applyBorder="true" applyAlignment="true" applyProtection="false">
      <alignment horizontal="left" vertical="center" textRotation="0" wrapText="true" indent="1" shrinkToFit="false"/>
      <protection locked="true" hidden="false"/>
    </xf>
    <xf numFmtId="164" fontId="17" fillId="8" borderId="3" xfId="0" applyFont="true" applyBorder="true" applyAlignment="true" applyProtection="false">
      <alignment horizontal="center" vertical="center" textRotation="0" wrapText="true" indent="0" shrinkToFit="false"/>
      <protection locked="true" hidden="false"/>
    </xf>
    <xf numFmtId="164" fontId="16" fillId="5" borderId="3" xfId="0" applyFont="true" applyBorder="true" applyAlignment="true" applyProtection="false">
      <alignment horizontal="center" vertical="center" textRotation="0" wrapText="true" indent="0" shrinkToFit="false"/>
      <protection locked="true" hidden="false"/>
    </xf>
    <xf numFmtId="164" fontId="16" fillId="5" borderId="3" xfId="0" applyFont="true" applyBorder="true" applyAlignment="true" applyProtection="false">
      <alignment horizontal="left" vertical="center" textRotation="0" wrapText="true" indent="1" shrinkToFit="false"/>
      <protection locked="true" hidden="false"/>
    </xf>
    <xf numFmtId="164" fontId="9" fillId="2" borderId="2" xfId="0" applyFont="true" applyBorder="true" applyAlignment="true" applyProtection="false">
      <alignment horizontal="center" vertical="center" textRotation="0" wrapText="false" indent="0" shrinkToFit="false"/>
      <protection locked="true" hidden="false"/>
    </xf>
    <xf numFmtId="164" fontId="9" fillId="2" borderId="2" xfId="0" applyFont="true" applyBorder="true" applyAlignment="true" applyProtection="false">
      <alignment horizontal="left" vertical="center" textRotation="0" wrapText="false" indent="0" shrinkToFit="false"/>
      <protection locked="true" hidden="false"/>
    </xf>
    <xf numFmtId="164" fontId="18" fillId="6" borderId="3" xfId="0" applyFont="true" applyBorder="true" applyAlignment="true" applyProtection="false">
      <alignment horizontal="center" vertical="center" textRotation="0" wrapText="true" indent="0" shrinkToFit="false"/>
      <protection locked="true" hidden="false"/>
    </xf>
    <xf numFmtId="164" fontId="19" fillId="6" borderId="3" xfId="0" applyFont="true" applyBorder="true" applyAlignment="true" applyProtection="false">
      <alignment horizontal="center" vertical="center" textRotation="0" wrapText="true" indent="0" shrinkToFit="false"/>
      <protection locked="true" hidden="false"/>
    </xf>
    <xf numFmtId="164" fontId="19" fillId="6" borderId="3" xfId="0" applyFont="true" applyBorder="true" applyAlignment="true" applyProtection="false">
      <alignment horizontal="left" vertical="center" textRotation="0" wrapText="true" indent="1" shrinkToFit="false"/>
      <protection locked="true" hidden="false"/>
    </xf>
    <xf numFmtId="164" fontId="18" fillId="8" borderId="3" xfId="0" applyFont="true" applyBorder="true" applyAlignment="true" applyProtection="false">
      <alignment horizontal="center" vertical="center" textRotation="0" wrapText="true" indent="0" shrinkToFit="false"/>
      <protection locked="true" hidden="false"/>
    </xf>
    <xf numFmtId="164" fontId="18" fillId="14" borderId="3" xfId="0" applyFont="true" applyBorder="true" applyAlignment="true" applyProtection="false">
      <alignment horizontal="center" vertical="center" textRotation="0" wrapText="true" indent="0" shrinkToFit="false"/>
      <protection locked="true" hidden="false"/>
    </xf>
    <xf numFmtId="164" fontId="18" fillId="5" borderId="3" xfId="0" applyFont="true" applyBorder="true" applyAlignment="true" applyProtection="false">
      <alignment horizontal="center" vertical="center" textRotation="0" wrapText="true" indent="0" shrinkToFit="false"/>
      <protection locked="true" hidden="false"/>
    </xf>
    <xf numFmtId="164" fontId="19" fillId="5" borderId="3" xfId="0" applyFont="true" applyBorder="true" applyAlignment="true" applyProtection="false">
      <alignment horizontal="center" vertical="center" textRotation="0" wrapText="true" indent="0" shrinkToFit="false"/>
      <protection locked="true" hidden="false"/>
    </xf>
    <xf numFmtId="164" fontId="19" fillId="5" borderId="3" xfId="0" applyFont="true" applyBorder="true" applyAlignment="true" applyProtection="false">
      <alignment horizontal="left" vertical="center" textRotation="0" wrapText="true" indent="1" shrinkToFit="false"/>
      <protection locked="true" hidden="false"/>
    </xf>
    <xf numFmtId="164" fontId="19" fillId="9" borderId="3" xfId="0" applyFont="true" applyBorder="true" applyAlignment="true" applyProtection="false">
      <alignment horizontal="center" vertical="center" textRotation="0" wrapText="true" indent="0" shrinkToFit="false"/>
      <protection locked="true" hidden="false"/>
    </xf>
    <xf numFmtId="164" fontId="18" fillId="9" borderId="3" xfId="0" applyFont="true" applyBorder="true" applyAlignment="true" applyProtection="false">
      <alignment horizontal="center" vertical="center" textRotation="0" wrapText="true" indent="0" shrinkToFit="false"/>
      <protection locked="true" hidden="false"/>
    </xf>
    <xf numFmtId="164" fontId="20" fillId="6" borderId="3" xfId="0" applyFont="true" applyBorder="true" applyAlignment="true" applyProtection="false">
      <alignment horizontal="center" vertical="center" textRotation="0" wrapText="true" indent="0" shrinkToFit="false"/>
      <protection locked="true" hidden="false"/>
    </xf>
    <xf numFmtId="164" fontId="21" fillId="6" borderId="3" xfId="0" applyFont="true" applyBorder="true" applyAlignment="true" applyProtection="false">
      <alignment horizontal="left" vertical="center" textRotation="0" wrapText="true" indent="1" shrinkToFit="false"/>
      <protection locked="true" hidden="false"/>
    </xf>
    <xf numFmtId="164" fontId="22" fillId="8" borderId="3" xfId="0" applyFont="true" applyBorder="true" applyAlignment="true" applyProtection="false">
      <alignment horizontal="center" vertical="center" textRotation="0" wrapText="true" indent="0" shrinkToFit="false"/>
      <protection locked="true" hidden="false"/>
    </xf>
    <xf numFmtId="164" fontId="20" fillId="14" borderId="3" xfId="0" applyFont="true" applyBorder="true" applyAlignment="true" applyProtection="false">
      <alignment horizontal="center" vertical="center" textRotation="0" wrapText="true" indent="0" shrinkToFit="false"/>
      <protection locked="true" hidden="false"/>
    </xf>
    <xf numFmtId="164" fontId="21" fillId="6" borderId="3" xfId="0" applyFont="true" applyBorder="true" applyAlignment="true" applyProtection="false">
      <alignment horizontal="center" vertical="center" textRotation="0" wrapText="true" indent="0" shrinkToFit="false"/>
      <protection locked="true" hidden="false"/>
    </xf>
    <xf numFmtId="164" fontId="20" fillId="5" borderId="3" xfId="0" applyFont="true" applyBorder="true" applyAlignment="true" applyProtection="false">
      <alignment horizontal="center" vertical="center" textRotation="0" wrapText="true" indent="0" shrinkToFit="false"/>
      <protection locked="true" hidden="false"/>
    </xf>
    <xf numFmtId="164" fontId="21" fillId="5" borderId="3" xfId="0" applyFont="true" applyBorder="true" applyAlignment="true" applyProtection="false">
      <alignment horizontal="left" vertical="center" textRotation="0" wrapText="true" indent="1" shrinkToFit="false"/>
      <protection locked="true" hidden="false"/>
    </xf>
    <xf numFmtId="164" fontId="21" fillId="5" borderId="3" xfId="0" applyFont="true" applyBorder="true" applyAlignment="true" applyProtection="false">
      <alignment horizontal="center" vertical="center" textRotation="0" wrapText="true" indent="0" shrinkToFit="false"/>
      <protection locked="true" hidden="false"/>
    </xf>
    <xf numFmtId="164" fontId="20" fillId="9" borderId="3" xfId="0" applyFont="true" applyBorder="true" applyAlignment="true" applyProtection="false">
      <alignment horizontal="center" vertical="center" textRotation="0" wrapText="true" indent="0" shrinkToFit="false"/>
      <protection locked="true" hidden="false"/>
    </xf>
    <xf numFmtId="164" fontId="20" fillId="8" borderId="3" xfId="0" applyFont="true" applyBorder="true" applyAlignment="true" applyProtection="false">
      <alignment horizontal="center" vertical="center" textRotation="0" wrapText="true" indent="0" shrinkToFit="false"/>
      <protection locked="true" hidden="false"/>
    </xf>
    <xf numFmtId="164" fontId="9" fillId="7" borderId="2" xfId="0" applyFont="true" applyBorder="true" applyAlignment="true" applyProtection="false">
      <alignment horizontal="center" vertical="center" textRotation="0" wrapText="true" indent="0" shrinkToFit="false"/>
      <protection locked="true" hidden="false"/>
    </xf>
    <xf numFmtId="164" fontId="23" fillId="4" borderId="3" xfId="0" applyFont="true" applyBorder="true" applyAlignment="true" applyProtection="false">
      <alignment horizontal="left" vertical="center" textRotation="0" wrapText="true" indent="1" shrinkToFit="false"/>
      <protection locked="true" hidden="false"/>
    </xf>
    <xf numFmtId="164" fontId="7" fillId="6" borderId="3" xfId="0" applyFont="true" applyBorder="true" applyAlignment="true" applyProtection="false">
      <alignment horizontal="left" vertical="center" textRotation="0" wrapText="true" indent="1" shrinkToFit="false"/>
      <protection locked="true" hidden="false"/>
    </xf>
    <xf numFmtId="164" fontId="7" fillId="5" borderId="3" xfId="0" applyFont="true" applyBorder="true" applyAlignment="true" applyProtection="false">
      <alignment horizontal="left" vertical="center" textRotation="0" wrapText="true" indent="1" shrinkToFit="false"/>
      <protection locked="true" hidden="false"/>
    </xf>
    <xf numFmtId="164" fontId="24" fillId="6" borderId="3" xfId="0" applyFont="true" applyBorder="true" applyAlignment="true" applyProtection="false">
      <alignment horizontal="center" vertical="center" textRotation="0" wrapText="false" indent="0" shrinkToFit="false"/>
      <protection locked="true" hidden="false"/>
    </xf>
    <xf numFmtId="164" fontId="24" fillId="6" borderId="3" xfId="0" applyFont="true" applyBorder="true" applyAlignment="true" applyProtection="false">
      <alignment horizontal="left" vertical="center" textRotation="0" wrapText="false" indent="1" shrinkToFit="false"/>
      <protection locked="true" hidden="false"/>
    </xf>
    <xf numFmtId="164" fontId="25" fillId="8" borderId="3" xfId="0" applyFont="true" applyBorder="true" applyAlignment="true" applyProtection="false">
      <alignment horizontal="center" vertical="center" textRotation="0" wrapText="false" indent="0" shrinkToFit="false"/>
      <protection locked="true" hidden="false"/>
    </xf>
    <xf numFmtId="164" fontId="24" fillId="5" borderId="3" xfId="0" applyFont="true" applyBorder="true" applyAlignment="true" applyProtection="false">
      <alignment horizontal="center" vertical="center" textRotation="0" wrapText="false" indent="0" shrinkToFit="false"/>
      <protection locked="true" hidden="false"/>
    </xf>
    <xf numFmtId="164" fontId="24" fillId="5" borderId="3" xfId="0" applyFont="true" applyBorder="true" applyAlignment="true" applyProtection="false">
      <alignment horizontal="left" vertical="center" textRotation="0" wrapText="false" indent="1" shrinkToFit="false"/>
      <protection locked="true" hidden="false"/>
    </xf>
    <xf numFmtId="164" fontId="12" fillId="6" borderId="3" xfId="0" applyFont="true" applyBorder="true" applyAlignment="true" applyProtection="false">
      <alignment horizontal="left" vertical="center" textRotation="0" wrapText="true" indent="0" shrinkToFit="false"/>
      <protection locked="true" hidden="false"/>
    </xf>
    <xf numFmtId="164" fontId="12" fillId="5" borderId="3"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false" indent="0" shrinkToFit="false"/>
      <protection locked="true" hidden="false"/>
    </xf>
    <xf numFmtId="165" fontId="9" fillId="15" borderId="2" xfId="0" applyFont="true" applyBorder="true" applyAlignment="true" applyProtection="false">
      <alignment horizontal="center" vertical="center" textRotation="0" wrapText="false" indent="0" shrinkToFit="false"/>
      <protection locked="true" hidden="false"/>
    </xf>
    <xf numFmtId="164" fontId="9" fillId="7" borderId="0" xfId="0" applyFont="true" applyBorder="true" applyAlignment="true" applyProtection="false">
      <alignment horizontal="center" vertical="center" textRotation="0" wrapText="false" indent="0" shrinkToFit="false"/>
      <protection locked="true" hidden="false"/>
    </xf>
    <xf numFmtId="164" fontId="9" fillId="16" borderId="2" xfId="0" applyFont="true" applyBorder="true" applyAlignment="true" applyProtection="false">
      <alignment horizontal="center" vertical="center" textRotation="0" wrapText="true" indent="0" shrinkToFit="false"/>
      <protection locked="true" hidden="false"/>
    </xf>
    <xf numFmtId="164" fontId="26" fillId="14" borderId="3" xfId="0" applyFont="true" applyBorder="true" applyAlignment="true" applyProtection="false">
      <alignment horizontal="center" vertical="center" textRotation="0" wrapText="true" indent="0" shrinkToFit="false"/>
      <protection locked="true" hidden="false"/>
    </xf>
    <xf numFmtId="164" fontId="20" fillId="12" borderId="3" xfId="0" applyFont="true" applyBorder="true" applyAlignment="true" applyProtection="false">
      <alignment horizontal="center" vertical="center" textRotation="0" wrapText="true" indent="0" shrinkToFit="false"/>
      <protection locked="true" hidden="false"/>
    </xf>
    <xf numFmtId="164" fontId="27" fillId="6" borderId="3" xfId="0" applyFont="true" applyBorder="true" applyAlignment="true" applyProtection="false">
      <alignment horizontal="center" vertical="center" textRotation="0" wrapText="false" indent="0" shrinkToFit="false"/>
      <protection locked="true" hidden="false"/>
    </xf>
    <xf numFmtId="164" fontId="27" fillId="6" borderId="3" xfId="0" applyFont="true" applyBorder="true" applyAlignment="true" applyProtection="false">
      <alignment horizontal="left" vertical="center" textRotation="0" wrapText="false" indent="1" shrinkToFit="false"/>
      <protection locked="true" hidden="false"/>
    </xf>
    <xf numFmtId="164" fontId="17" fillId="8" borderId="3" xfId="0" applyFont="true" applyBorder="true" applyAlignment="true" applyProtection="false">
      <alignment horizontal="center" vertical="center" textRotation="0" wrapText="false" indent="0" shrinkToFit="false"/>
      <protection locked="true" hidden="false"/>
    </xf>
    <xf numFmtId="164" fontId="27" fillId="5" borderId="3" xfId="0" applyFont="true" applyBorder="true" applyAlignment="true" applyProtection="false">
      <alignment horizontal="center" vertical="center" textRotation="0" wrapText="false" indent="0" shrinkToFit="false"/>
      <protection locked="true" hidden="false"/>
    </xf>
    <xf numFmtId="164" fontId="27" fillId="5" borderId="3" xfId="0" applyFont="true" applyBorder="true" applyAlignment="true" applyProtection="false">
      <alignment horizontal="left" vertical="center" textRotation="0" wrapText="false" indent="1" shrinkToFit="false"/>
      <protection locked="true" hidden="false"/>
    </xf>
    <xf numFmtId="164" fontId="15" fillId="17" borderId="0" xfId="0" applyFont="true" applyBorder="true" applyAlignment="true" applyProtection="false">
      <alignment horizontal="center" vertical="center" textRotation="0" wrapText="true" indent="0" shrinkToFit="false"/>
      <protection locked="true" hidden="false"/>
    </xf>
    <xf numFmtId="164" fontId="9" fillId="17" borderId="2" xfId="0" applyFont="true" applyBorder="true" applyAlignment="true" applyProtection="false">
      <alignment horizontal="center" vertical="center" textRotation="0" wrapText="true" indent="0" shrinkToFit="false"/>
      <protection locked="true" hidden="false"/>
    </xf>
    <xf numFmtId="164" fontId="15" fillId="13" borderId="0" xfId="0" applyFont="true" applyBorder="true" applyAlignment="true" applyProtection="false">
      <alignment horizontal="center" vertical="center" textRotation="0" wrapText="true" indent="0" shrinkToFit="false"/>
      <protection locked="true" hidden="false"/>
    </xf>
    <xf numFmtId="164" fontId="27" fillId="6" borderId="3" xfId="0" applyFont="true" applyBorder="true" applyAlignment="true" applyProtection="false">
      <alignment horizontal="center" vertical="center" textRotation="0" wrapText="true" indent="0" shrinkToFit="false"/>
      <protection locked="true" hidden="false"/>
    </xf>
    <xf numFmtId="164" fontId="27" fillId="6" borderId="3" xfId="0" applyFont="true" applyBorder="true" applyAlignment="true" applyProtection="false">
      <alignment horizontal="left" vertical="center" textRotation="0" wrapText="true" indent="1" shrinkToFit="false"/>
      <protection locked="true" hidden="false"/>
    </xf>
    <xf numFmtId="164" fontId="27" fillId="5" borderId="3" xfId="0" applyFont="true" applyBorder="true" applyAlignment="true" applyProtection="false">
      <alignment horizontal="center" vertical="center" textRotation="0" wrapText="true" indent="0" shrinkToFit="false"/>
      <protection locked="true" hidden="false"/>
    </xf>
    <xf numFmtId="164" fontId="27" fillId="5" borderId="3" xfId="0" applyFont="true" applyBorder="true" applyAlignment="true" applyProtection="false">
      <alignment horizontal="left" vertical="center" textRotation="0" wrapText="true" indent="1" shrinkToFit="false"/>
      <protection locked="true" hidden="false"/>
    </xf>
    <xf numFmtId="164" fontId="28" fillId="2" borderId="0" xfId="0" applyFont="true" applyBorder="true" applyAlignment="true" applyProtection="false">
      <alignment horizontal="center" vertical="center" textRotation="0" wrapText="true" indent="0" shrinkToFit="false"/>
      <protection locked="true" hidden="false"/>
    </xf>
    <xf numFmtId="164" fontId="29" fillId="4" borderId="1" xfId="0" applyFont="true" applyBorder="true" applyAlignment="true" applyProtection="false">
      <alignment horizontal="left" vertical="center" textRotation="0" wrapText="false" indent="1" shrinkToFit="false"/>
      <protection locked="true" hidden="false"/>
    </xf>
    <xf numFmtId="164" fontId="30" fillId="8" borderId="1" xfId="0" applyFont="true" applyBorder="true" applyAlignment="true" applyProtection="false">
      <alignment horizontal="center" vertical="center" textRotation="0" wrapText="false" indent="1" shrinkToFit="false"/>
      <protection locked="true" hidden="false"/>
    </xf>
    <xf numFmtId="164" fontId="7" fillId="6" borderId="1" xfId="0" applyFont="true" applyBorder="true" applyAlignment="true" applyProtection="false">
      <alignment horizontal="left" vertical="center" textRotation="0" wrapText="true" indent="1" shrinkToFit="false"/>
      <protection locked="true" hidden="false"/>
    </xf>
    <xf numFmtId="164" fontId="7" fillId="5" borderId="1" xfId="0" applyFont="true" applyBorder="true" applyAlignment="true" applyProtection="false">
      <alignment horizontal="left" vertical="center" textRotation="0" wrapText="true" indent="1" shrinkToFit="false"/>
      <protection locked="true" hidden="false"/>
    </xf>
    <xf numFmtId="164" fontId="15" fillId="2" borderId="0" xfId="0" applyFont="true" applyBorder="true" applyAlignment="true" applyProtection="false">
      <alignment horizontal="center" vertical="center" textRotation="0" wrapText="true" indent="0" shrinkToFit="false"/>
      <protection locked="true" hidden="false"/>
    </xf>
    <xf numFmtId="164" fontId="9" fillId="13" borderId="2" xfId="0" applyFont="true" applyBorder="true" applyAlignment="true" applyProtection="false">
      <alignment horizontal="center" vertical="center" textRotation="0" wrapText="false" indent="0" shrinkToFit="false"/>
      <protection locked="true" hidden="false"/>
    </xf>
    <xf numFmtId="164" fontId="10" fillId="6" borderId="3" xfId="0" applyFont="true" applyBorder="true" applyAlignment="true" applyProtection="false">
      <alignment horizontal="center" vertical="center" textRotation="0" wrapText="false" indent="0" shrinkToFit="false"/>
      <protection locked="true" hidden="false"/>
    </xf>
    <xf numFmtId="164" fontId="31" fillId="8" borderId="3" xfId="0" applyFont="true" applyBorder="true" applyAlignment="true" applyProtection="false">
      <alignment horizontal="center" vertical="center" textRotation="0" wrapText="false" indent="0" shrinkToFit="false"/>
      <protection locked="true" hidden="false"/>
    </xf>
    <xf numFmtId="164" fontId="10" fillId="5" borderId="3" xfId="0" applyFont="true" applyBorder="true" applyAlignment="true" applyProtection="false">
      <alignment horizontal="center" vertical="center" textRotation="0" wrapText="false" indent="0" shrinkToFit="false"/>
      <protection locked="true" hidden="false"/>
    </xf>
    <xf numFmtId="164" fontId="11" fillId="15" borderId="4"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2563EB"/>
          <bgColor rgb="FF000000"/>
        </patternFill>
      </fill>
    </dxf>
    <dxf>
      <fill>
        <patternFill patternType="solid">
          <fgColor rgb="FFF1F5F9"/>
          <bgColor rgb="FF000000"/>
        </patternFill>
      </fill>
    </dxf>
    <dxf>
      <fill>
        <patternFill patternType="solid">
          <fgColor rgb="FFFFFFFF"/>
          <bgColor rgb="FF000000"/>
        </patternFill>
      </fill>
    </dxf>
    <dxf>
      <fill>
        <patternFill patternType="solid">
          <fgColor rgb="FF1E293B"/>
          <bgColor rgb="FF000000"/>
        </patternFill>
      </fill>
    </dxf>
    <dxf>
      <fill>
        <patternFill patternType="solid">
          <fgColor rgb="FFDCFCE7"/>
          <bgColor rgb="FF000000"/>
        </patternFill>
      </fill>
    </dxf>
    <dxf>
      <fill>
        <patternFill patternType="solid">
          <fgColor rgb="FF166534"/>
          <bgColor rgb="FF000000"/>
        </patternFill>
      </fill>
    </dxf>
    <dxf>
      <fill>
        <patternFill patternType="solid">
          <fgColor rgb="FFFEE2E2"/>
          <bgColor rgb="FF000000"/>
        </patternFill>
      </fill>
    </dxf>
    <dxf>
      <fill>
        <patternFill patternType="solid">
          <fgColor rgb="FFFEF9C3"/>
          <bgColor rgb="FF000000"/>
        </patternFill>
      </fill>
    </dxf>
    <dxf>
      <fill>
        <patternFill patternType="solid">
          <fgColor rgb="FF991B1B"/>
          <bgColor rgb="FF000000"/>
        </patternFill>
      </fill>
    </dxf>
    <dxf>
      <fill>
        <patternFill patternType="solid">
          <fgColor rgb="FFFFF7ED"/>
          <bgColor rgb="FF000000"/>
        </patternFill>
      </fill>
    </dxf>
  </dxfs>
  <colors>
    <indexedColors>
      <rgbColor rgb="FF000000"/>
      <rgbColor rgb="FFFFFFFF"/>
      <rgbColor rgb="FFFF0000"/>
      <rgbColor rgb="FF00FF00"/>
      <rgbColor rgb="FF0000FF"/>
      <rgbColor rgb="FFFFFF00"/>
      <rgbColor rgb="FFFF00FF"/>
      <rgbColor rgb="FF00FFFF"/>
      <rgbColor rgb="FF800000"/>
      <rgbColor rgb="FF166534"/>
      <rgbColor rgb="FF000080"/>
      <rgbColor rgb="FF808000"/>
      <rgbColor rgb="FF6D28D9"/>
      <rgbColor rgb="FF0F766E"/>
      <rgbColor rgb="FFEDE9FE"/>
      <rgbColor rgb="FF808080"/>
      <rgbColor rgb="FF9999FF"/>
      <rgbColor rgb="FF993366"/>
      <rgbColor rgb="FFFEF9C3"/>
      <rgbColor rgb="FFCCFBF1"/>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DCFCE7"/>
      <rgbColor rgb="FFDBEAFE"/>
      <rgbColor rgb="FFFFF7ED"/>
      <rgbColor rgb="FFEFF6FF"/>
      <rgbColor rgb="FFF1F5F9"/>
      <rgbColor rgb="FFCC99FF"/>
      <rgbColor rgb="FFFEE2E2"/>
      <rgbColor rgb="FF2563EB"/>
      <rgbColor rgb="FF33CCCC"/>
      <rgbColor rgb="FF99CC00"/>
      <rgbColor rgb="FFFFCC00"/>
      <rgbColor rgb="FFFF9900"/>
      <rgbColor rgb="FFFF6600"/>
      <rgbColor rgb="FF64748B"/>
      <rgbColor rgb="FF969696"/>
      <rgbColor rgb="FF1B3A6B"/>
      <rgbColor rgb="FF339966"/>
      <rgbColor rgb="FF003300"/>
      <rgbColor rgb="FF333300"/>
      <rgbColor rgb="FF991B1B"/>
      <rgbColor rgb="FF993366"/>
      <rgbColor rgb="FF47556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4"/>
    <col collapsed="false" customWidth="true" hidden="false" outlineLevel="0" max="8" min="4" style="0" width="18"/>
  </cols>
  <sheetData>
    <row r="1" customFormat="false" ht="42"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9.75" hidden="false" customHeight="true" outlineLevel="0" collapsed="false"/>
    <row r="4" customFormat="false" ht="21.75" hidden="false" customHeight="true" outlineLevel="0" collapsed="false">
      <c r="A4" s="3" t="s">
        <v>2</v>
      </c>
      <c r="B4" s="3"/>
      <c r="C4" s="4" t="s">
        <v>3</v>
      </c>
      <c r="D4" s="4"/>
      <c r="E4" s="4"/>
      <c r="F4" s="4"/>
      <c r="G4" s="4"/>
      <c r="H4" s="4"/>
    </row>
    <row r="5" customFormat="false" ht="21.75" hidden="false" customHeight="true" outlineLevel="0" collapsed="false">
      <c r="A5" s="3" t="s">
        <v>4</v>
      </c>
      <c r="B5" s="3"/>
      <c r="C5" s="5" t="s">
        <v>5</v>
      </c>
      <c r="D5" s="5"/>
      <c r="E5" s="5"/>
      <c r="F5" s="5"/>
      <c r="G5" s="5"/>
      <c r="H5" s="5"/>
    </row>
    <row r="6" customFormat="false" ht="21.75" hidden="false" customHeight="true" outlineLevel="0" collapsed="false">
      <c r="A6" s="3" t="s">
        <v>6</v>
      </c>
      <c r="B6" s="3"/>
      <c r="C6" s="4" t="s">
        <v>7</v>
      </c>
      <c r="D6" s="4"/>
      <c r="E6" s="4"/>
      <c r="F6" s="4"/>
      <c r="G6" s="4"/>
      <c r="H6" s="4"/>
    </row>
    <row r="7" customFormat="false" ht="21.75" hidden="false" customHeight="true" outlineLevel="0" collapsed="false">
      <c r="A7" s="3" t="s">
        <v>8</v>
      </c>
      <c r="B7" s="3"/>
      <c r="C7" s="5" t="s">
        <v>9</v>
      </c>
      <c r="D7" s="5"/>
      <c r="E7" s="5"/>
      <c r="F7" s="5"/>
      <c r="G7" s="5"/>
      <c r="H7" s="5"/>
    </row>
    <row r="8" customFormat="false" ht="21.75" hidden="false" customHeight="true" outlineLevel="0" collapsed="false">
      <c r="A8" s="3" t="s">
        <v>10</v>
      </c>
      <c r="B8" s="3"/>
      <c r="C8" s="4" t="s">
        <v>11</v>
      </c>
      <c r="D8" s="4"/>
      <c r="E8" s="4"/>
      <c r="F8" s="4"/>
      <c r="G8" s="4"/>
      <c r="H8" s="4"/>
    </row>
    <row r="9" customFormat="false" ht="21.75" hidden="false" customHeight="true" outlineLevel="0" collapsed="false">
      <c r="A9" s="3" t="s">
        <v>12</v>
      </c>
      <c r="B9" s="3"/>
      <c r="C9" s="5" t="s">
        <v>13</v>
      </c>
      <c r="D9" s="5"/>
      <c r="E9" s="5"/>
      <c r="F9" s="5"/>
      <c r="G9" s="5"/>
      <c r="H9" s="5"/>
    </row>
    <row r="10" customFormat="false" ht="21.75" hidden="false" customHeight="true" outlineLevel="0" collapsed="false">
      <c r="A10" s="3" t="s">
        <v>14</v>
      </c>
      <c r="B10" s="3"/>
      <c r="C10" s="4" t="s">
        <v>15</v>
      </c>
      <c r="D10" s="4"/>
      <c r="E10" s="4"/>
      <c r="F10" s="4"/>
      <c r="G10" s="4"/>
      <c r="H10" s="4"/>
    </row>
    <row r="11" customFormat="false" ht="21.75" hidden="false" customHeight="true" outlineLevel="0" collapsed="false">
      <c r="A11" s="3" t="s">
        <v>16</v>
      </c>
      <c r="B11" s="3"/>
      <c r="C11" s="5" t="s">
        <v>17</v>
      </c>
      <c r="D11" s="5"/>
      <c r="E11" s="5"/>
      <c r="F11" s="5"/>
      <c r="G11" s="5"/>
      <c r="H11" s="5"/>
    </row>
    <row r="12" customFormat="false" ht="21.75" hidden="false" customHeight="true" outlineLevel="0" collapsed="false">
      <c r="A12" s="3" t="s">
        <v>18</v>
      </c>
      <c r="B12" s="3"/>
      <c r="C12" s="4" t="s">
        <v>19</v>
      </c>
      <c r="D12" s="4"/>
      <c r="E12" s="4"/>
      <c r="F12" s="4"/>
      <c r="G12" s="4"/>
      <c r="H12" s="4"/>
    </row>
    <row r="13" customFormat="false" ht="21.75" hidden="false" customHeight="true" outlineLevel="0" collapsed="false">
      <c r="A13" s="3" t="s">
        <v>20</v>
      </c>
      <c r="B13" s="3"/>
      <c r="C13" s="5" t="s">
        <v>21</v>
      </c>
      <c r="D13" s="5"/>
      <c r="E13" s="5"/>
      <c r="F13" s="5"/>
      <c r="G13" s="5"/>
      <c r="H13" s="5"/>
    </row>
    <row r="14" customFormat="false" ht="12" hidden="false" customHeight="true" outlineLevel="0" collapsed="false"/>
    <row r="15" customFormat="false" ht="27.75" hidden="false" customHeight="true" outlineLevel="0" collapsed="false">
      <c r="A15" s="6" t="s">
        <v>22</v>
      </c>
      <c r="B15" s="6"/>
      <c r="C15" s="6"/>
      <c r="D15" s="6"/>
      <c r="E15" s="6"/>
      <c r="F15" s="6"/>
      <c r="G15" s="6"/>
      <c r="H15" s="6"/>
    </row>
    <row r="16" customFormat="false" ht="24" hidden="false" customHeight="true" outlineLevel="0" collapsed="false">
      <c r="A16" s="7" t="s">
        <v>23</v>
      </c>
      <c r="B16" s="7" t="s">
        <v>24</v>
      </c>
      <c r="C16" s="7"/>
      <c r="D16" s="7" t="s">
        <v>25</v>
      </c>
      <c r="E16" s="7"/>
      <c r="F16" s="7"/>
      <c r="G16" s="7"/>
      <c r="H16" s="7"/>
    </row>
    <row r="17" customFormat="false" ht="30" hidden="false" customHeight="true" outlineLevel="0" collapsed="false">
      <c r="A17" s="8" t="s">
        <v>26</v>
      </c>
      <c r="B17" s="9" t="s">
        <v>27</v>
      </c>
      <c r="C17" s="9"/>
      <c r="D17" s="10" t="s">
        <v>28</v>
      </c>
      <c r="E17" s="10"/>
      <c r="F17" s="10"/>
      <c r="G17" s="10"/>
      <c r="H17" s="10"/>
    </row>
    <row r="18" customFormat="false" ht="30" hidden="false" customHeight="true" outlineLevel="0" collapsed="false">
      <c r="A18" s="11" t="s">
        <v>29</v>
      </c>
      <c r="B18" s="12" t="s">
        <v>30</v>
      </c>
      <c r="C18" s="12"/>
      <c r="D18" s="13" t="s">
        <v>31</v>
      </c>
      <c r="E18" s="13"/>
      <c r="F18" s="13"/>
      <c r="G18" s="13"/>
      <c r="H18" s="13"/>
    </row>
    <row r="19" customFormat="false" ht="30" hidden="false" customHeight="true" outlineLevel="0" collapsed="false">
      <c r="A19" s="14" t="s">
        <v>32</v>
      </c>
      <c r="B19" s="15" t="s">
        <v>33</v>
      </c>
      <c r="C19" s="15"/>
      <c r="D19" s="16" t="s">
        <v>34</v>
      </c>
      <c r="E19" s="16"/>
      <c r="F19" s="16"/>
      <c r="G19" s="16"/>
      <c r="H19" s="16"/>
    </row>
    <row r="20" customFormat="false" ht="30" hidden="false" customHeight="true" outlineLevel="0" collapsed="false">
      <c r="A20" s="17" t="s">
        <v>35</v>
      </c>
      <c r="B20" s="18" t="s">
        <v>36</v>
      </c>
      <c r="C20" s="18"/>
      <c r="D20" s="19" t="s">
        <v>37</v>
      </c>
      <c r="E20" s="19"/>
      <c r="F20" s="19"/>
      <c r="G20" s="19"/>
      <c r="H20" s="19"/>
    </row>
    <row r="21" customFormat="false" ht="30" hidden="false" customHeight="true" outlineLevel="0" collapsed="false">
      <c r="A21" s="20" t="s">
        <v>38</v>
      </c>
      <c r="B21" s="21" t="s">
        <v>39</v>
      </c>
      <c r="C21" s="21"/>
      <c r="D21" s="22" t="s">
        <v>40</v>
      </c>
      <c r="E21" s="22"/>
      <c r="F21" s="22"/>
      <c r="G21" s="22"/>
      <c r="H21" s="22"/>
    </row>
    <row r="22" customFormat="false" ht="30" hidden="false" customHeight="true" outlineLevel="0" collapsed="false">
      <c r="A22" s="23" t="s">
        <v>41</v>
      </c>
      <c r="B22" s="24" t="s">
        <v>42</v>
      </c>
      <c r="C22" s="24"/>
      <c r="D22" s="25" t="s">
        <v>43</v>
      </c>
      <c r="E22" s="25"/>
      <c r="F22" s="25"/>
      <c r="G22" s="25"/>
      <c r="H22" s="25"/>
    </row>
    <row r="23" customFormat="false" ht="30" hidden="false" customHeight="true" outlineLevel="0" collapsed="false">
      <c r="A23" s="8" t="s">
        <v>44</v>
      </c>
      <c r="B23" s="9" t="s">
        <v>45</v>
      </c>
      <c r="C23" s="9"/>
      <c r="D23" s="10" t="s">
        <v>46</v>
      </c>
      <c r="E23" s="10"/>
      <c r="F23" s="10"/>
      <c r="G23" s="10"/>
      <c r="H23" s="10"/>
    </row>
    <row r="24" customFormat="false" ht="30" hidden="false" customHeight="true" outlineLevel="0" collapsed="false">
      <c r="A24" s="11" t="s">
        <v>47</v>
      </c>
      <c r="B24" s="12" t="s">
        <v>48</v>
      </c>
      <c r="C24" s="12"/>
      <c r="D24" s="13" t="s">
        <v>49</v>
      </c>
      <c r="E24" s="13"/>
      <c r="F24" s="13"/>
      <c r="G24" s="13"/>
      <c r="H24" s="13"/>
    </row>
    <row r="25" customFormat="false" ht="30" hidden="false" customHeight="true" outlineLevel="0" collapsed="false">
      <c r="A25" s="14" t="s">
        <v>50</v>
      </c>
      <c r="B25" s="15" t="s">
        <v>51</v>
      </c>
      <c r="C25" s="15"/>
      <c r="D25" s="16" t="s">
        <v>52</v>
      </c>
      <c r="E25" s="16"/>
      <c r="F25" s="16"/>
      <c r="G25" s="16"/>
      <c r="H25" s="16"/>
    </row>
    <row r="26" customFormat="false" ht="30" hidden="false" customHeight="true" outlineLevel="0" collapsed="false">
      <c r="A26" s="17" t="s">
        <v>53</v>
      </c>
      <c r="B26" s="18" t="s">
        <v>54</v>
      </c>
      <c r="C26" s="18"/>
      <c r="D26" s="19" t="s">
        <v>55</v>
      </c>
      <c r="E26" s="19"/>
      <c r="F26" s="19"/>
      <c r="G26" s="19"/>
      <c r="H26" s="19"/>
    </row>
  </sheetData>
  <mergeCells count="45">
    <mergeCell ref="A1:H1"/>
    <mergeCell ref="A2:H2"/>
    <mergeCell ref="A4:B4"/>
    <mergeCell ref="C4:H4"/>
    <mergeCell ref="A5:B5"/>
    <mergeCell ref="C5:H5"/>
    <mergeCell ref="A6:B6"/>
    <mergeCell ref="C6:H6"/>
    <mergeCell ref="A7:B7"/>
    <mergeCell ref="C7:H7"/>
    <mergeCell ref="A8:B8"/>
    <mergeCell ref="C8:H8"/>
    <mergeCell ref="A9:B9"/>
    <mergeCell ref="C9:H9"/>
    <mergeCell ref="A10:B10"/>
    <mergeCell ref="C10:H10"/>
    <mergeCell ref="A11:B11"/>
    <mergeCell ref="C11:H11"/>
    <mergeCell ref="A12:B12"/>
    <mergeCell ref="C12:H12"/>
    <mergeCell ref="A13:B13"/>
    <mergeCell ref="C13:H13"/>
    <mergeCell ref="A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20"/>
  </cols>
  <sheetData>
    <row r="1" customFormat="false" ht="31.5" hidden="false" customHeight="true" outlineLevel="0" collapsed="false">
      <c r="A1" s="26" t="s">
        <v>56</v>
      </c>
      <c r="B1" s="26"/>
      <c r="C1" s="26"/>
      <c r="D1" s="26"/>
      <c r="E1" s="26"/>
      <c r="F1" s="26"/>
    </row>
    <row r="3" customFormat="false" ht="21.75" hidden="false" customHeight="true" outlineLevel="0" collapsed="false">
      <c r="A3" s="27" t="s">
        <v>57</v>
      </c>
      <c r="B3" s="27"/>
      <c r="C3" s="27"/>
      <c r="D3" s="27"/>
      <c r="E3" s="27"/>
      <c r="F3" s="27"/>
    </row>
    <row r="4" customFormat="false" ht="39.75" hidden="false" customHeight="true" outlineLevel="0" collapsed="false">
      <c r="A4" s="28" t="s">
        <v>58</v>
      </c>
      <c r="B4" s="28"/>
      <c r="C4" s="28"/>
      <c r="D4" s="28"/>
      <c r="E4" s="28"/>
      <c r="F4" s="28"/>
    </row>
    <row r="5" customFormat="false" ht="6" hidden="false" customHeight="true" outlineLevel="0" collapsed="false"/>
    <row r="6" customFormat="false" ht="21.75" hidden="false" customHeight="true" outlineLevel="0" collapsed="false">
      <c r="A6" s="27" t="s">
        <v>59</v>
      </c>
      <c r="B6" s="27"/>
      <c r="C6" s="27"/>
      <c r="D6" s="27"/>
      <c r="E6" s="27"/>
      <c r="F6" s="27"/>
    </row>
    <row r="7" customFormat="false" ht="39.75" hidden="false" customHeight="true" outlineLevel="0" collapsed="false">
      <c r="A7" s="28" t="s">
        <v>60</v>
      </c>
      <c r="B7" s="28"/>
      <c r="C7" s="28"/>
      <c r="D7" s="28"/>
      <c r="E7" s="28"/>
      <c r="F7" s="28"/>
    </row>
    <row r="8" customFormat="false" ht="6" hidden="false" customHeight="true" outlineLevel="0" collapsed="false"/>
    <row r="9" customFormat="false" ht="21.75" hidden="false" customHeight="true" outlineLevel="0" collapsed="false">
      <c r="A9" s="27" t="s">
        <v>61</v>
      </c>
      <c r="B9" s="27"/>
      <c r="C9" s="27"/>
      <c r="D9" s="27"/>
      <c r="E9" s="27"/>
      <c r="F9" s="27"/>
    </row>
    <row r="10" customFormat="false" ht="75.75" hidden="false" customHeight="true" outlineLevel="0" collapsed="false">
      <c r="A10" s="28" t="s">
        <v>62</v>
      </c>
      <c r="B10" s="28"/>
      <c r="C10" s="28"/>
      <c r="D10" s="28"/>
      <c r="E10" s="28"/>
      <c r="F10" s="28"/>
    </row>
    <row r="11" customFormat="false" ht="6" hidden="false" customHeight="true" outlineLevel="0" collapsed="false"/>
    <row r="12" customFormat="false" ht="21.75" hidden="false" customHeight="true" outlineLevel="0" collapsed="false">
      <c r="A12" s="27" t="s">
        <v>63</v>
      </c>
      <c r="B12" s="27"/>
      <c r="C12" s="27"/>
      <c r="D12" s="27"/>
      <c r="E12" s="27"/>
      <c r="F12" s="27"/>
    </row>
    <row r="13" customFormat="false" ht="93.75" hidden="false" customHeight="true" outlineLevel="0" collapsed="false">
      <c r="A13" s="28" t="s">
        <v>64</v>
      </c>
      <c r="B13" s="28"/>
      <c r="C13" s="28"/>
      <c r="D13" s="28"/>
      <c r="E13" s="28"/>
      <c r="F13" s="28"/>
    </row>
    <row r="14" customFormat="false" ht="6" hidden="false" customHeight="true" outlineLevel="0" collapsed="false"/>
    <row r="15" customFormat="false" ht="21.75" hidden="false" customHeight="true" outlineLevel="0" collapsed="false">
      <c r="A15" s="27" t="s">
        <v>65</v>
      </c>
      <c r="B15" s="27"/>
      <c r="C15" s="27"/>
      <c r="D15" s="27"/>
      <c r="E15" s="27"/>
      <c r="F15" s="27"/>
    </row>
    <row r="16" customFormat="false" ht="39.75" hidden="false" customHeight="true" outlineLevel="0" collapsed="false">
      <c r="A16" s="28" t="s">
        <v>66</v>
      </c>
      <c r="B16" s="28"/>
      <c r="C16" s="28"/>
      <c r="D16" s="28"/>
      <c r="E16" s="28"/>
      <c r="F16" s="28"/>
    </row>
    <row r="17" customFormat="false" ht="6" hidden="false" customHeight="true" outlineLevel="0" collapsed="false"/>
    <row r="18" customFormat="false" ht="21.75" hidden="false" customHeight="true" outlineLevel="0" collapsed="false">
      <c r="A18" s="27" t="s">
        <v>67</v>
      </c>
      <c r="B18" s="27"/>
      <c r="C18" s="27"/>
      <c r="D18" s="27"/>
      <c r="E18" s="27"/>
      <c r="F18" s="27"/>
    </row>
    <row r="19" customFormat="false" ht="39.75" hidden="false" customHeight="true" outlineLevel="0" collapsed="false">
      <c r="A19" s="28" t="s">
        <v>68</v>
      </c>
      <c r="B19" s="28"/>
      <c r="C19" s="28"/>
      <c r="D19" s="28"/>
      <c r="E19" s="28"/>
      <c r="F19" s="28"/>
    </row>
    <row r="20" customFormat="false" ht="6" hidden="false" customHeight="true" outlineLevel="0" collapsed="false"/>
  </sheetData>
  <mergeCells count="13">
    <mergeCell ref="A1:F1"/>
    <mergeCell ref="A3:F3"/>
    <mergeCell ref="A4:F4"/>
    <mergeCell ref="A6:F6"/>
    <mergeCell ref="A7:F7"/>
    <mergeCell ref="A9:F9"/>
    <mergeCell ref="A10:F10"/>
    <mergeCell ref="A12:F12"/>
    <mergeCell ref="A13:F13"/>
    <mergeCell ref="A15:F15"/>
    <mergeCell ref="A16:F16"/>
    <mergeCell ref="A18:F18"/>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45"/>
    <col collapsed="false" customWidth="true" hidden="false" outlineLevel="0" max="4" min="4" style="0" width="20"/>
    <col collapsed="false" customWidth="true" hidden="false" outlineLevel="0" max="5" min="5" style="0" width="28"/>
    <col collapsed="false" customWidth="true" hidden="false" outlineLevel="0" max="8" min="6" style="0" width="14"/>
  </cols>
  <sheetData>
    <row r="1" customFormat="false" ht="31.5" hidden="false" customHeight="true" outlineLevel="0" collapsed="false">
      <c r="A1" s="29" t="s">
        <v>69</v>
      </c>
      <c r="B1" s="29"/>
      <c r="C1" s="29"/>
      <c r="D1" s="29"/>
      <c r="E1" s="29"/>
      <c r="F1" s="29"/>
      <c r="G1" s="29"/>
      <c r="H1" s="29"/>
    </row>
    <row r="2" customFormat="false" ht="24" hidden="false" customHeight="true" outlineLevel="0" collapsed="false">
      <c r="A2" s="30" t="s">
        <v>70</v>
      </c>
      <c r="B2" s="30" t="s">
        <v>71</v>
      </c>
      <c r="C2" s="30" t="s">
        <v>72</v>
      </c>
      <c r="D2" s="30" t="s">
        <v>73</v>
      </c>
      <c r="E2" s="30" t="s">
        <v>74</v>
      </c>
      <c r="F2" s="30" t="s">
        <v>75</v>
      </c>
    </row>
    <row r="3" customFormat="false" ht="34.5" hidden="false" customHeight="true" outlineLevel="0" collapsed="false">
      <c r="A3" s="31" t="n">
        <v>1</v>
      </c>
      <c r="B3" s="32" t="s">
        <v>76</v>
      </c>
      <c r="C3" s="32" t="s">
        <v>77</v>
      </c>
      <c r="D3" s="32" t="s">
        <v>78</v>
      </c>
      <c r="E3" s="32" t="s">
        <v>79</v>
      </c>
      <c r="F3" s="33" t="s">
        <v>80</v>
      </c>
    </row>
    <row r="4" customFormat="false" ht="34.5" hidden="false" customHeight="true" outlineLevel="0" collapsed="false">
      <c r="A4" s="34" t="n">
        <v>2</v>
      </c>
      <c r="B4" s="35" t="s">
        <v>81</v>
      </c>
      <c r="C4" s="35" t="s">
        <v>82</v>
      </c>
      <c r="D4" s="35" t="s">
        <v>83</v>
      </c>
      <c r="E4" s="35" t="s">
        <v>84</v>
      </c>
      <c r="F4" s="33" t="s">
        <v>80</v>
      </c>
    </row>
    <row r="5" customFormat="false" ht="34.5" hidden="false" customHeight="true" outlineLevel="0" collapsed="false">
      <c r="A5" s="31" t="n">
        <v>3</v>
      </c>
      <c r="B5" s="32" t="s">
        <v>85</v>
      </c>
      <c r="C5" s="32" t="s">
        <v>86</v>
      </c>
      <c r="D5" s="32" t="s">
        <v>83</v>
      </c>
      <c r="E5" s="32" t="s">
        <v>87</v>
      </c>
      <c r="F5" s="33" t="s">
        <v>80</v>
      </c>
    </row>
    <row r="6" customFormat="false" ht="34.5" hidden="false" customHeight="true" outlineLevel="0" collapsed="false">
      <c r="A6" s="34" t="n">
        <v>4</v>
      </c>
      <c r="B6" s="35" t="s">
        <v>88</v>
      </c>
      <c r="C6" s="35" t="s">
        <v>89</v>
      </c>
      <c r="D6" s="35" t="s">
        <v>90</v>
      </c>
      <c r="E6" s="35" t="s">
        <v>91</v>
      </c>
      <c r="F6" s="36" t="s">
        <v>92</v>
      </c>
    </row>
    <row r="7" customFormat="false" ht="34.5" hidden="false" customHeight="true" outlineLevel="0" collapsed="false">
      <c r="A7" s="31" t="n">
        <v>5</v>
      </c>
      <c r="B7" s="32" t="s">
        <v>93</v>
      </c>
      <c r="C7" s="32" t="s">
        <v>94</v>
      </c>
      <c r="D7" s="32" t="s">
        <v>83</v>
      </c>
      <c r="E7" s="32" t="s">
        <v>95</v>
      </c>
      <c r="F7" s="36" t="s">
        <v>92</v>
      </c>
    </row>
    <row r="8" customFormat="false" ht="34.5" hidden="false" customHeight="true" outlineLevel="0" collapsed="false">
      <c r="A8" s="34" t="n">
        <v>6</v>
      </c>
      <c r="B8" s="35" t="s">
        <v>96</v>
      </c>
      <c r="C8" s="35" t="s">
        <v>97</v>
      </c>
      <c r="D8" s="35" t="s">
        <v>83</v>
      </c>
      <c r="E8" s="35" t="s">
        <v>98</v>
      </c>
      <c r="F8" s="36" t="s">
        <v>92</v>
      </c>
    </row>
    <row r="9" customFormat="false" ht="34.5" hidden="false" customHeight="true" outlineLevel="0" collapsed="false">
      <c r="A9" s="31" t="n">
        <v>7</v>
      </c>
      <c r="B9" s="32" t="s">
        <v>99</v>
      </c>
      <c r="C9" s="32" t="s">
        <v>100</v>
      </c>
      <c r="D9" s="32" t="s">
        <v>101</v>
      </c>
      <c r="E9" s="32" t="s">
        <v>102</v>
      </c>
      <c r="F9" s="36" t="s">
        <v>92</v>
      </c>
    </row>
    <row r="10" customFormat="false" ht="34.5" hidden="false" customHeight="true" outlineLevel="0" collapsed="false">
      <c r="A10" s="34" t="n">
        <v>8</v>
      </c>
      <c r="B10" s="35" t="s">
        <v>103</v>
      </c>
      <c r="C10" s="35" t="s">
        <v>104</v>
      </c>
      <c r="D10" s="35" t="s">
        <v>83</v>
      </c>
      <c r="E10" s="35" t="s">
        <v>105</v>
      </c>
      <c r="F10" s="37" t="s">
        <v>106</v>
      </c>
    </row>
    <row r="11" customFormat="false" ht="34.5" hidden="false" customHeight="true" outlineLevel="0" collapsed="false">
      <c r="A11" s="31" t="n">
        <v>9</v>
      </c>
      <c r="B11" s="32" t="s">
        <v>107</v>
      </c>
      <c r="C11" s="32" t="s">
        <v>108</v>
      </c>
      <c r="D11" s="32" t="s">
        <v>83</v>
      </c>
      <c r="E11" s="32" t="s">
        <v>109</v>
      </c>
      <c r="F11" s="37" t="s">
        <v>106</v>
      </c>
    </row>
    <row r="12" customFormat="false" ht="34.5" hidden="false" customHeight="true" outlineLevel="0" collapsed="false">
      <c r="A12" s="34" t="n">
        <v>10</v>
      </c>
      <c r="B12" s="35" t="s">
        <v>110</v>
      </c>
      <c r="C12" s="35" t="s">
        <v>111</v>
      </c>
      <c r="D12" s="35" t="s">
        <v>83</v>
      </c>
      <c r="E12" s="35" t="s">
        <v>112</v>
      </c>
      <c r="F12" s="38" t="s">
        <v>113</v>
      </c>
    </row>
    <row r="13" customFormat="false" ht="34.5" hidden="false" customHeight="true" outlineLevel="0" collapsed="false">
      <c r="A13" s="31" t="n">
        <v>11</v>
      </c>
      <c r="B13" s="32" t="s">
        <v>114</v>
      </c>
      <c r="C13" s="32" t="s">
        <v>115</v>
      </c>
      <c r="D13" s="32" t="s">
        <v>83</v>
      </c>
      <c r="E13" s="32" t="s">
        <v>116</v>
      </c>
      <c r="F13" s="33" t="s">
        <v>80</v>
      </c>
    </row>
    <row r="14" customFormat="false" ht="34.5" hidden="false" customHeight="true" outlineLevel="0" collapsed="false">
      <c r="A14" s="34" t="n">
        <v>12</v>
      </c>
      <c r="B14" s="35" t="s">
        <v>117</v>
      </c>
      <c r="C14" s="35" t="s">
        <v>118</v>
      </c>
      <c r="D14" s="35" t="s">
        <v>83</v>
      </c>
      <c r="E14" s="35" t="s">
        <v>119</v>
      </c>
      <c r="F14" s="36" t="s">
        <v>92</v>
      </c>
    </row>
    <row r="15" customFormat="false" ht="34.5" hidden="false" customHeight="true" outlineLevel="0" collapsed="false">
      <c r="A15" s="31" t="n">
        <v>13</v>
      </c>
      <c r="B15" s="32" t="s">
        <v>120</v>
      </c>
      <c r="C15" s="32" t="s">
        <v>121</v>
      </c>
      <c r="D15" s="32" t="s">
        <v>78</v>
      </c>
      <c r="E15" s="32" t="s">
        <v>122</v>
      </c>
      <c r="F15" s="33" t="s">
        <v>80</v>
      </c>
    </row>
    <row r="16" customFormat="false" ht="34.5" hidden="false" customHeight="true" outlineLevel="0" collapsed="false">
      <c r="A16" s="34" t="n">
        <v>14</v>
      </c>
      <c r="B16" s="35" t="s">
        <v>123</v>
      </c>
      <c r="C16" s="35" t="s">
        <v>124</v>
      </c>
      <c r="D16" s="35" t="s">
        <v>125</v>
      </c>
      <c r="E16" s="35" t="s">
        <v>126</v>
      </c>
      <c r="F16" s="37" t="s">
        <v>106</v>
      </c>
    </row>
    <row r="17" customFormat="false" ht="34.5" hidden="false" customHeight="true" outlineLevel="0" collapsed="false">
      <c r="A17" s="31" t="n">
        <v>15</v>
      </c>
      <c r="B17" s="32" t="s">
        <v>127</v>
      </c>
      <c r="C17" s="32" t="s">
        <v>128</v>
      </c>
      <c r="D17" s="32" t="s">
        <v>129</v>
      </c>
      <c r="E17" s="32" t="s">
        <v>130</v>
      </c>
      <c r="F17" s="38" t="s">
        <v>113</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7" min="6" style="0" width="14"/>
  </cols>
  <sheetData>
    <row r="1" customFormat="false" ht="31.5" hidden="false" customHeight="true" outlineLevel="0" collapsed="false">
      <c r="A1" s="26" t="s">
        <v>131</v>
      </c>
      <c r="B1" s="26"/>
      <c r="C1" s="26"/>
      <c r="D1" s="26"/>
      <c r="E1" s="26"/>
      <c r="F1" s="26"/>
      <c r="G1" s="26"/>
    </row>
    <row r="3" customFormat="false" ht="19.5" hidden="false" customHeight="true" outlineLevel="0" collapsed="false">
      <c r="A3" s="3" t="s">
        <v>132</v>
      </c>
      <c r="B3" s="3"/>
      <c r="C3" s="3"/>
      <c r="D3" s="39" t="s">
        <v>133</v>
      </c>
      <c r="E3" s="39"/>
      <c r="F3" s="39"/>
      <c r="G3" s="39"/>
    </row>
    <row r="4" customFormat="false" ht="19.5" hidden="false" customHeight="true" outlineLevel="0" collapsed="false">
      <c r="A4" s="3" t="s">
        <v>134</v>
      </c>
      <c r="B4" s="3"/>
      <c r="C4" s="3"/>
      <c r="D4" s="39" t="s">
        <v>135</v>
      </c>
      <c r="E4" s="39"/>
      <c r="F4" s="39"/>
      <c r="G4" s="39"/>
    </row>
    <row r="5" customFormat="false" ht="19.5" hidden="false" customHeight="true" outlineLevel="0" collapsed="false">
      <c r="A5" s="3" t="s">
        <v>18</v>
      </c>
      <c r="B5" s="3"/>
      <c r="C5" s="3"/>
      <c r="D5" s="39" t="s">
        <v>136</v>
      </c>
      <c r="E5" s="39"/>
      <c r="F5" s="39"/>
      <c r="G5" s="39"/>
    </row>
    <row r="6" customFormat="false" ht="19.5" hidden="false" customHeight="true" outlineLevel="0" collapsed="false">
      <c r="A6" s="3" t="s">
        <v>137</v>
      </c>
      <c r="B6" s="3"/>
      <c r="C6" s="3"/>
      <c r="D6" s="39" t="s">
        <v>138</v>
      </c>
      <c r="E6" s="39"/>
      <c r="F6" s="39"/>
      <c r="G6" s="39"/>
    </row>
    <row r="7" customFormat="false" ht="19.5" hidden="false" customHeight="true" outlineLevel="0" collapsed="false">
      <c r="A7" s="3" t="s">
        <v>20</v>
      </c>
      <c r="B7" s="3"/>
      <c r="C7" s="3"/>
      <c r="D7" s="39" t="s">
        <v>21</v>
      </c>
      <c r="E7" s="39"/>
      <c r="F7" s="39"/>
      <c r="G7" s="39"/>
    </row>
    <row r="8" customFormat="false" ht="19.5" hidden="false" customHeight="true" outlineLevel="0" collapsed="false">
      <c r="A8" s="3" t="s">
        <v>139</v>
      </c>
      <c r="B8" s="3"/>
      <c r="C8" s="3"/>
      <c r="D8" s="39" t="s">
        <v>140</v>
      </c>
      <c r="E8" s="39"/>
      <c r="F8" s="39"/>
      <c r="G8" s="39"/>
    </row>
    <row r="10" customFormat="false" ht="25.5" hidden="false" customHeight="true" outlineLevel="0" collapsed="false">
      <c r="A10" s="40" t="s">
        <v>141</v>
      </c>
      <c r="B10" s="40"/>
      <c r="C10" s="40"/>
      <c r="D10" s="40"/>
      <c r="E10" s="40"/>
      <c r="F10" s="40"/>
      <c r="G10" s="40"/>
    </row>
    <row r="11" customFormat="false" ht="24" hidden="false" customHeight="true" outlineLevel="0" collapsed="false">
      <c r="A11" s="30" t="s">
        <v>70</v>
      </c>
      <c r="B11" s="30" t="s">
        <v>142</v>
      </c>
      <c r="C11" s="30" t="s">
        <v>143</v>
      </c>
      <c r="D11" s="30" t="s">
        <v>144</v>
      </c>
      <c r="E11" s="30" t="s">
        <v>145</v>
      </c>
      <c r="F11" s="30" t="s">
        <v>146</v>
      </c>
      <c r="G11" s="30" t="s">
        <v>147</v>
      </c>
    </row>
    <row r="12" customFormat="false" ht="19.5" hidden="false" customHeight="true" outlineLevel="0" collapsed="false">
      <c r="A12" s="41" t="n">
        <v>1</v>
      </c>
      <c r="B12" s="42" t="s">
        <v>76</v>
      </c>
      <c r="C12" s="41" t="n">
        <v>5</v>
      </c>
      <c r="D12" s="41" t="n">
        <v>8</v>
      </c>
      <c r="E12" s="41" t="n">
        <v>8</v>
      </c>
      <c r="F12" s="41" t="n">
        <v>8</v>
      </c>
      <c r="G12" s="43" t="s">
        <v>148</v>
      </c>
    </row>
    <row r="13" customFormat="false" ht="19.5" hidden="false" customHeight="true" outlineLevel="0" collapsed="false">
      <c r="A13" s="44" t="n">
        <v>2</v>
      </c>
      <c r="B13" s="45" t="s">
        <v>81</v>
      </c>
      <c r="C13" s="44" t="n">
        <v>6</v>
      </c>
      <c r="D13" s="44" t="n">
        <v>10</v>
      </c>
      <c r="E13" s="44" t="n">
        <v>12</v>
      </c>
      <c r="F13" s="44" t="n">
        <v>11</v>
      </c>
      <c r="G13" s="43" t="s">
        <v>148</v>
      </c>
    </row>
    <row r="14" customFormat="false" ht="19.5" hidden="false" customHeight="true" outlineLevel="0" collapsed="false">
      <c r="A14" s="41" t="n">
        <v>3</v>
      </c>
      <c r="B14" s="42" t="s">
        <v>85</v>
      </c>
      <c r="C14" s="41" t="n">
        <v>4</v>
      </c>
      <c r="D14" s="41" t="n">
        <v>6</v>
      </c>
      <c r="E14" s="41" t="n">
        <v>6</v>
      </c>
      <c r="F14" s="41" t="n">
        <v>6</v>
      </c>
      <c r="G14" s="43" t="s">
        <v>148</v>
      </c>
    </row>
    <row r="15" customFormat="false" ht="19.5" hidden="false" customHeight="true" outlineLevel="0" collapsed="false">
      <c r="A15" s="44" t="n">
        <v>4</v>
      </c>
      <c r="B15" s="45" t="s">
        <v>88</v>
      </c>
      <c r="C15" s="44" t="n">
        <v>2</v>
      </c>
      <c r="D15" s="44" t="n">
        <v>3</v>
      </c>
      <c r="E15" s="44" t="n">
        <v>3</v>
      </c>
      <c r="F15" s="44" t="n">
        <v>3</v>
      </c>
      <c r="G15" s="43" t="s">
        <v>148</v>
      </c>
    </row>
    <row r="16" customFormat="false" ht="19.5" hidden="false" customHeight="true" outlineLevel="0" collapsed="false">
      <c r="A16" s="41" t="n">
        <v>5</v>
      </c>
      <c r="B16" s="42" t="s">
        <v>93</v>
      </c>
      <c r="C16" s="41" t="n">
        <v>3</v>
      </c>
      <c r="D16" s="41" t="n">
        <v>4</v>
      </c>
      <c r="E16" s="41" t="n">
        <v>4</v>
      </c>
      <c r="F16" s="41" t="n">
        <v>4</v>
      </c>
      <c r="G16" s="43" t="s">
        <v>148</v>
      </c>
    </row>
    <row r="17" customFormat="false" ht="19.5" hidden="false" customHeight="true" outlineLevel="0" collapsed="false">
      <c r="A17" s="44" t="n">
        <v>6</v>
      </c>
      <c r="B17" s="45" t="s">
        <v>96</v>
      </c>
      <c r="C17" s="44" t="n">
        <v>4</v>
      </c>
      <c r="D17" s="44" t="n">
        <v>6</v>
      </c>
      <c r="E17" s="44" t="n">
        <v>6</v>
      </c>
      <c r="F17" s="44" t="n">
        <v>6</v>
      </c>
      <c r="G17" s="43" t="s">
        <v>148</v>
      </c>
    </row>
    <row r="18" customFormat="false" ht="19.5" hidden="false" customHeight="true" outlineLevel="0" collapsed="false">
      <c r="A18" s="41" t="n">
        <v>7</v>
      </c>
      <c r="B18" s="42" t="s">
        <v>99</v>
      </c>
      <c r="C18" s="41" t="n">
        <v>5</v>
      </c>
      <c r="D18" s="41" t="n">
        <v>8</v>
      </c>
      <c r="E18" s="41" t="n">
        <v>10</v>
      </c>
      <c r="F18" s="41" t="n">
        <v>9</v>
      </c>
      <c r="G18" s="43" t="s">
        <v>148</v>
      </c>
    </row>
    <row r="19" customFormat="false" ht="19.5" hidden="false" customHeight="true" outlineLevel="0" collapsed="false">
      <c r="A19" s="44" t="n">
        <v>8</v>
      </c>
      <c r="B19" s="45" t="s">
        <v>103</v>
      </c>
      <c r="C19" s="44" t="n">
        <v>4</v>
      </c>
      <c r="D19" s="44" t="n">
        <v>6</v>
      </c>
      <c r="E19" s="44" t="n">
        <v>6</v>
      </c>
      <c r="F19" s="44" t="n">
        <v>5</v>
      </c>
      <c r="G19" s="43" t="s">
        <v>148</v>
      </c>
    </row>
    <row r="20" customFormat="false" ht="19.5" hidden="false" customHeight="true" outlineLevel="0" collapsed="false">
      <c r="A20" s="41" t="n">
        <v>9</v>
      </c>
      <c r="B20" s="42" t="s">
        <v>107</v>
      </c>
      <c r="C20" s="41" t="n">
        <v>3</v>
      </c>
      <c r="D20" s="41" t="n">
        <v>4</v>
      </c>
      <c r="E20" s="41" t="n">
        <v>4</v>
      </c>
      <c r="F20" s="41" t="n">
        <v>4</v>
      </c>
      <c r="G20" s="43" t="s">
        <v>148</v>
      </c>
    </row>
    <row r="21" customFormat="false" ht="19.5" hidden="false" customHeight="true" outlineLevel="0" collapsed="false">
      <c r="A21" s="44" t="n">
        <v>10</v>
      </c>
      <c r="B21" s="45" t="s">
        <v>110</v>
      </c>
      <c r="C21" s="44" t="n">
        <v>2</v>
      </c>
      <c r="D21" s="44" t="n">
        <v>3</v>
      </c>
      <c r="E21" s="44" t="n">
        <v>3</v>
      </c>
      <c r="F21" s="44" t="n">
        <v>3</v>
      </c>
      <c r="G21" s="43" t="s">
        <v>148</v>
      </c>
    </row>
    <row r="22" customFormat="false" ht="19.5" hidden="false" customHeight="true" outlineLevel="0" collapsed="false">
      <c r="A22" s="41" t="n">
        <v>11</v>
      </c>
      <c r="B22" s="42" t="s">
        <v>114</v>
      </c>
      <c r="C22" s="41" t="n">
        <v>4</v>
      </c>
      <c r="D22" s="41" t="n">
        <v>6</v>
      </c>
      <c r="E22" s="41" t="n">
        <v>6</v>
      </c>
      <c r="F22" s="41" t="n">
        <v>6</v>
      </c>
      <c r="G22" s="43" t="s">
        <v>148</v>
      </c>
    </row>
    <row r="23" customFormat="false" ht="19.5" hidden="false" customHeight="true" outlineLevel="0" collapsed="false">
      <c r="A23" s="44" t="n">
        <v>12</v>
      </c>
      <c r="B23" s="45" t="s">
        <v>117</v>
      </c>
      <c r="C23" s="44" t="n">
        <v>3</v>
      </c>
      <c r="D23" s="44" t="n">
        <v>4</v>
      </c>
      <c r="E23" s="44" t="n">
        <v>4</v>
      </c>
      <c r="F23" s="44" t="n">
        <v>4</v>
      </c>
      <c r="G23" s="43" t="s">
        <v>148</v>
      </c>
    </row>
    <row r="24" customFormat="false" ht="19.5" hidden="false" customHeight="true" outlineLevel="0" collapsed="false">
      <c r="A24" s="41" t="n">
        <v>13</v>
      </c>
      <c r="B24" s="42" t="s">
        <v>120</v>
      </c>
      <c r="C24" s="41" t="n">
        <v>2</v>
      </c>
      <c r="D24" s="41" t="n">
        <v>3</v>
      </c>
      <c r="E24" s="41" t="n">
        <v>3</v>
      </c>
      <c r="F24" s="41" t="n">
        <v>3</v>
      </c>
      <c r="G24" s="43" t="s">
        <v>148</v>
      </c>
    </row>
    <row r="25" customFormat="false" ht="19.5" hidden="false" customHeight="true" outlineLevel="0" collapsed="false">
      <c r="A25" s="44" t="n">
        <v>14</v>
      </c>
      <c r="B25" s="45" t="s">
        <v>123</v>
      </c>
      <c r="C25" s="44" t="n">
        <v>2</v>
      </c>
      <c r="D25" s="44" t="n">
        <v>3</v>
      </c>
      <c r="E25" s="44" t="n">
        <v>4</v>
      </c>
      <c r="F25" s="44" t="n">
        <v>4</v>
      </c>
      <c r="G25" s="43" t="s">
        <v>148</v>
      </c>
    </row>
    <row r="26" customFormat="false" ht="19.5" hidden="false" customHeight="true" outlineLevel="0" collapsed="false">
      <c r="A26" s="41" t="n">
        <v>15</v>
      </c>
      <c r="B26" s="42" t="s">
        <v>127</v>
      </c>
      <c r="C26" s="41" t="n">
        <v>1</v>
      </c>
      <c r="D26" s="41" t="n">
        <v>2</v>
      </c>
      <c r="E26" s="41" t="n">
        <v>2</v>
      </c>
      <c r="F26" s="41" t="n">
        <v>2</v>
      </c>
      <c r="G26" s="43" t="s">
        <v>148</v>
      </c>
    </row>
    <row r="27" customFormat="false" ht="24" hidden="false" customHeight="true" outlineLevel="0" collapsed="false">
      <c r="A27" s="46"/>
      <c r="B27" s="47" t="s">
        <v>149</v>
      </c>
      <c r="C27" s="46" t="n">
        <f aca="false">SUM(C12:C26)</f>
        <v>50</v>
      </c>
      <c r="D27" s="46" t="n">
        <f aca="false">SUM(D12:D26)</f>
        <v>76</v>
      </c>
      <c r="E27" s="46" t="n">
        <f aca="false">SUM(E12:E26)</f>
        <v>81</v>
      </c>
      <c r="F27" s="46" t="n">
        <f aca="false">SUM(F12:F26)</f>
        <v>78</v>
      </c>
      <c r="G27" s="46"/>
    </row>
  </sheetData>
  <mergeCells count="14">
    <mergeCell ref="A1:G1"/>
    <mergeCell ref="A3:C3"/>
    <mergeCell ref="D3:G3"/>
    <mergeCell ref="A4:C4"/>
    <mergeCell ref="D4:G4"/>
    <mergeCell ref="A5:C5"/>
    <mergeCell ref="D5:G5"/>
    <mergeCell ref="A6:C6"/>
    <mergeCell ref="D6:G6"/>
    <mergeCell ref="A7:C7"/>
    <mergeCell ref="D7:G7"/>
    <mergeCell ref="A8:C8"/>
    <mergeCell ref="D8:G8"/>
    <mergeCell ref="A10:G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48"/>
    <col collapsed="false" customWidth="true" hidden="false" outlineLevel="0" max="4" min="4" style="0" width="14"/>
    <col collapsed="false" customWidth="true" hidden="false" outlineLevel="0" max="5" min="5" style="0" width="10"/>
    <col collapsed="false" customWidth="true" hidden="false" outlineLevel="0" max="6" min="6" style="0" width="16"/>
  </cols>
  <sheetData>
    <row r="1" customFormat="false" ht="31.5" hidden="false" customHeight="true" outlineLevel="0" collapsed="false">
      <c r="A1" s="26" t="s">
        <v>150</v>
      </c>
      <c r="B1" s="26"/>
      <c r="C1" s="26"/>
      <c r="D1" s="26"/>
      <c r="E1" s="26"/>
      <c r="F1" s="26"/>
    </row>
    <row r="2" customFormat="false" ht="24" hidden="false" customHeight="true" outlineLevel="0" collapsed="false">
      <c r="A2" s="30" t="s">
        <v>151</v>
      </c>
      <c r="B2" s="30" t="s">
        <v>142</v>
      </c>
      <c r="C2" s="30" t="s">
        <v>152</v>
      </c>
      <c r="D2" s="30" t="s">
        <v>153</v>
      </c>
      <c r="E2" s="30" t="s">
        <v>75</v>
      </c>
      <c r="F2" s="30" t="s">
        <v>154</v>
      </c>
    </row>
    <row r="3" customFormat="false" ht="24" hidden="false" customHeight="true" outlineLevel="0" collapsed="false">
      <c r="A3" s="48" t="s">
        <v>155</v>
      </c>
      <c r="B3" s="49" t="s">
        <v>156</v>
      </c>
      <c r="C3" s="50" t="s">
        <v>157</v>
      </c>
      <c r="D3" s="51" t="s">
        <v>158</v>
      </c>
      <c r="E3" s="52" t="s">
        <v>92</v>
      </c>
      <c r="F3" s="49" t="s">
        <v>159</v>
      </c>
    </row>
    <row r="4" customFormat="false" ht="24" hidden="false" customHeight="true" outlineLevel="0" collapsed="false">
      <c r="A4" s="53" t="s">
        <v>160</v>
      </c>
      <c r="B4" s="54" t="s">
        <v>156</v>
      </c>
      <c r="C4" s="55" t="s">
        <v>161</v>
      </c>
      <c r="D4" s="52" t="s">
        <v>162</v>
      </c>
      <c r="E4" s="52" t="s">
        <v>92</v>
      </c>
      <c r="F4" s="54" t="s">
        <v>159</v>
      </c>
    </row>
    <row r="5" customFormat="false" ht="24" hidden="false" customHeight="true" outlineLevel="0" collapsed="false">
      <c r="A5" s="48" t="s">
        <v>163</v>
      </c>
      <c r="B5" s="49" t="s">
        <v>156</v>
      </c>
      <c r="C5" s="50" t="s">
        <v>164</v>
      </c>
      <c r="D5" s="52" t="s">
        <v>162</v>
      </c>
      <c r="E5" s="52" t="s">
        <v>92</v>
      </c>
      <c r="F5" s="49" t="s">
        <v>165</v>
      </c>
    </row>
    <row r="6" customFormat="false" ht="24" hidden="false" customHeight="true" outlineLevel="0" collapsed="false">
      <c r="A6" s="53" t="s">
        <v>166</v>
      </c>
      <c r="B6" s="54" t="s">
        <v>156</v>
      </c>
      <c r="C6" s="55" t="s">
        <v>167</v>
      </c>
      <c r="D6" s="51" t="s">
        <v>158</v>
      </c>
      <c r="E6" s="52" t="s">
        <v>92</v>
      </c>
      <c r="F6" s="54" t="s">
        <v>165</v>
      </c>
    </row>
    <row r="7" customFormat="false" ht="24" hidden="false" customHeight="true" outlineLevel="0" collapsed="false">
      <c r="A7" s="48" t="s">
        <v>168</v>
      </c>
      <c r="B7" s="49" t="s">
        <v>81</v>
      </c>
      <c r="C7" s="50" t="s">
        <v>169</v>
      </c>
      <c r="D7" s="51" t="s">
        <v>158</v>
      </c>
      <c r="E7" s="52" t="s">
        <v>92</v>
      </c>
      <c r="F7" s="49" t="s">
        <v>159</v>
      </c>
    </row>
    <row r="8" customFormat="false" ht="24" hidden="false" customHeight="true" outlineLevel="0" collapsed="false">
      <c r="A8" s="53" t="s">
        <v>170</v>
      </c>
      <c r="B8" s="54" t="s">
        <v>81</v>
      </c>
      <c r="C8" s="55" t="s">
        <v>171</v>
      </c>
      <c r="D8" s="51" t="s">
        <v>158</v>
      </c>
      <c r="E8" s="52" t="s">
        <v>92</v>
      </c>
      <c r="F8" s="54" t="s">
        <v>172</v>
      </c>
    </row>
    <row r="9" customFormat="false" ht="24" hidden="false" customHeight="true" outlineLevel="0" collapsed="false">
      <c r="A9" s="48" t="s">
        <v>173</v>
      </c>
      <c r="B9" s="49" t="s">
        <v>81</v>
      </c>
      <c r="C9" s="50" t="s">
        <v>174</v>
      </c>
      <c r="D9" s="52" t="s">
        <v>162</v>
      </c>
      <c r="E9" s="52" t="s">
        <v>92</v>
      </c>
      <c r="F9" s="56" t="s">
        <v>175</v>
      </c>
    </row>
    <row r="10" customFormat="false" ht="24" hidden="false" customHeight="true" outlineLevel="0" collapsed="false">
      <c r="A10" s="53" t="s">
        <v>176</v>
      </c>
      <c r="B10" s="54" t="s">
        <v>81</v>
      </c>
      <c r="C10" s="55" t="s">
        <v>177</v>
      </c>
      <c r="D10" s="52" t="s">
        <v>162</v>
      </c>
      <c r="E10" s="52" t="s">
        <v>92</v>
      </c>
      <c r="F10" s="54" t="s">
        <v>159</v>
      </c>
    </row>
    <row r="11" customFormat="false" ht="24" hidden="false" customHeight="true" outlineLevel="0" collapsed="false">
      <c r="A11" s="48" t="s">
        <v>178</v>
      </c>
      <c r="B11" s="49" t="s">
        <v>179</v>
      </c>
      <c r="C11" s="50" t="s">
        <v>180</v>
      </c>
      <c r="D11" s="51" t="s">
        <v>158</v>
      </c>
      <c r="E11" s="52" t="s">
        <v>92</v>
      </c>
      <c r="F11" s="49" t="s">
        <v>159</v>
      </c>
    </row>
    <row r="12" customFormat="false" ht="24" hidden="false" customHeight="true" outlineLevel="0" collapsed="false">
      <c r="A12" s="53" t="s">
        <v>181</v>
      </c>
      <c r="B12" s="54" t="s">
        <v>179</v>
      </c>
      <c r="C12" s="55" t="s">
        <v>182</v>
      </c>
      <c r="D12" s="52" t="s">
        <v>162</v>
      </c>
      <c r="E12" s="52" t="s">
        <v>92</v>
      </c>
      <c r="F12" s="54" t="s">
        <v>165</v>
      </c>
    </row>
    <row r="13" customFormat="false" ht="24" hidden="false" customHeight="true" outlineLevel="0" collapsed="false">
      <c r="A13" s="48" t="s">
        <v>183</v>
      </c>
      <c r="B13" s="49" t="s">
        <v>88</v>
      </c>
      <c r="C13" s="50" t="s">
        <v>184</v>
      </c>
      <c r="D13" s="51" t="s">
        <v>158</v>
      </c>
      <c r="E13" s="52" t="s">
        <v>92</v>
      </c>
      <c r="F13" s="49" t="s">
        <v>159</v>
      </c>
    </row>
    <row r="14" customFormat="false" ht="24" hidden="false" customHeight="true" outlineLevel="0" collapsed="false">
      <c r="A14" s="53" t="s">
        <v>185</v>
      </c>
      <c r="B14" s="54" t="s">
        <v>93</v>
      </c>
      <c r="C14" s="55" t="s">
        <v>186</v>
      </c>
      <c r="D14" s="51" t="s">
        <v>158</v>
      </c>
      <c r="E14" s="57" t="s">
        <v>106</v>
      </c>
      <c r="F14" s="54" t="s">
        <v>159</v>
      </c>
    </row>
    <row r="15" customFormat="false" ht="24" hidden="false" customHeight="true" outlineLevel="0" collapsed="false">
      <c r="A15" s="48" t="s">
        <v>187</v>
      </c>
      <c r="B15" s="49" t="s">
        <v>96</v>
      </c>
      <c r="C15" s="50" t="s">
        <v>188</v>
      </c>
      <c r="D15" s="51" t="s">
        <v>158</v>
      </c>
      <c r="E15" s="52" t="s">
        <v>92</v>
      </c>
      <c r="F15" s="49" t="s">
        <v>172</v>
      </c>
    </row>
    <row r="16" customFormat="false" ht="24" hidden="false" customHeight="true" outlineLevel="0" collapsed="false">
      <c r="A16" s="53" t="s">
        <v>189</v>
      </c>
      <c r="B16" s="54" t="s">
        <v>96</v>
      </c>
      <c r="C16" s="55" t="s">
        <v>190</v>
      </c>
      <c r="D16" s="52" t="s">
        <v>162</v>
      </c>
      <c r="E16" s="52" t="s">
        <v>92</v>
      </c>
      <c r="F16" s="54" t="s">
        <v>159</v>
      </c>
    </row>
    <row r="17" customFormat="false" ht="24" hidden="false" customHeight="true" outlineLevel="0" collapsed="false">
      <c r="A17" s="48" t="s">
        <v>191</v>
      </c>
      <c r="B17" s="49" t="s">
        <v>99</v>
      </c>
      <c r="C17" s="50" t="s">
        <v>192</v>
      </c>
      <c r="D17" s="51" t="s">
        <v>158</v>
      </c>
      <c r="E17" s="52" t="s">
        <v>92</v>
      </c>
      <c r="F17" s="49" t="s">
        <v>159</v>
      </c>
    </row>
    <row r="18" customFormat="false" ht="24" hidden="false" customHeight="true" outlineLevel="0" collapsed="false">
      <c r="A18" s="53" t="s">
        <v>193</v>
      </c>
      <c r="B18" s="54" t="s">
        <v>99</v>
      </c>
      <c r="C18" s="55" t="s">
        <v>194</v>
      </c>
      <c r="D18" s="51" t="s">
        <v>158</v>
      </c>
      <c r="E18" s="57" t="s">
        <v>106</v>
      </c>
      <c r="F18" s="54" t="s">
        <v>159</v>
      </c>
    </row>
    <row r="19" customFormat="false" ht="24" hidden="false" customHeight="true" outlineLevel="0" collapsed="false">
      <c r="A19" s="48" t="s">
        <v>195</v>
      </c>
      <c r="B19" s="49" t="s">
        <v>196</v>
      </c>
      <c r="C19" s="50" t="s">
        <v>197</v>
      </c>
      <c r="D19" s="51" t="s">
        <v>158</v>
      </c>
      <c r="E19" s="57" t="s">
        <v>106</v>
      </c>
      <c r="F19" s="49" t="s">
        <v>159</v>
      </c>
    </row>
    <row r="20" customFormat="false" ht="24" hidden="false" customHeight="true" outlineLevel="0" collapsed="false">
      <c r="A20" s="53" t="s">
        <v>198</v>
      </c>
      <c r="B20" s="54" t="s">
        <v>196</v>
      </c>
      <c r="C20" s="55" t="s">
        <v>199</v>
      </c>
      <c r="D20" s="52" t="s">
        <v>162</v>
      </c>
      <c r="E20" s="57" t="s">
        <v>106</v>
      </c>
      <c r="F20" s="54" t="s">
        <v>159</v>
      </c>
    </row>
    <row r="21" customFormat="false" ht="24" hidden="false" customHeight="true" outlineLevel="0" collapsed="false">
      <c r="A21" s="48" t="s">
        <v>200</v>
      </c>
      <c r="B21" s="49" t="s">
        <v>201</v>
      </c>
      <c r="C21" s="50" t="s">
        <v>202</v>
      </c>
      <c r="D21" s="51" t="s">
        <v>158</v>
      </c>
      <c r="E21" s="57" t="s">
        <v>106</v>
      </c>
      <c r="F21" s="49" t="s">
        <v>159</v>
      </c>
    </row>
    <row r="22" customFormat="false" ht="24" hidden="false" customHeight="true" outlineLevel="0" collapsed="false">
      <c r="A22" s="53" t="s">
        <v>203</v>
      </c>
      <c r="B22" s="54" t="s">
        <v>204</v>
      </c>
      <c r="C22" s="55" t="s">
        <v>205</v>
      </c>
      <c r="D22" s="51" t="s">
        <v>158</v>
      </c>
      <c r="E22" s="52" t="s">
        <v>92</v>
      </c>
      <c r="F22" s="54" t="s">
        <v>159</v>
      </c>
    </row>
    <row r="23" customFormat="false" ht="24" hidden="false" customHeight="true" outlineLevel="0" collapsed="false">
      <c r="A23" s="48" t="s">
        <v>206</v>
      </c>
      <c r="B23" s="49" t="s">
        <v>204</v>
      </c>
      <c r="C23" s="50" t="s">
        <v>207</v>
      </c>
      <c r="D23" s="51" t="s">
        <v>158</v>
      </c>
      <c r="E23" s="52" t="s">
        <v>92</v>
      </c>
      <c r="F23" s="49" t="s">
        <v>165</v>
      </c>
    </row>
    <row r="24" customFormat="false" ht="24" hidden="false" customHeight="true" outlineLevel="0" collapsed="false">
      <c r="A24" s="53" t="s">
        <v>208</v>
      </c>
      <c r="B24" s="54" t="s">
        <v>117</v>
      </c>
      <c r="C24" s="55" t="s">
        <v>209</v>
      </c>
      <c r="D24" s="51" t="s">
        <v>158</v>
      </c>
      <c r="E24" s="52" t="s">
        <v>92</v>
      </c>
      <c r="F24" s="54" t="s">
        <v>159</v>
      </c>
    </row>
    <row r="25" customFormat="false" ht="24" hidden="false" customHeight="true" outlineLevel="0" collapsed="false">
      <c r="A25" s="48" t="s">
        <v>210</v>
      </c>
      <c r="B25" s="49" t="s">
        <v>211</v>
      </c>
      <c r="C25" s="50" t="s">
        <v>212</v>
      </c>
      <c r="D25" s="51" t="s">
        <v>158</v>
      </c>
      <c r="E25" s="52" t="s">
        <v>92</v>
      </c>
      <c r="F25" s="49" t="s">
        <v>165</v>
      </c>
    </row>
    <row r="26" customFormat="false" ht="24" hidden="false" customHeight="true" outlineLevel="0" collapsed="false">
      <c r="A26" s="53" t="s">
        <v>213</v>
      </c>
      <c r="B26" s="54" t="s">
        <v>123</v>
      </c>
      <c r="C26" s="55" t="s">
        <v>214</v>
      </c>
      <c r="D26" s="51" t="s">
        <v>158</v>
      </c>
      <c r="E26" s="57" t="s">
        <v>106</v>
      </c>
      <c r="F26" s="54" t="s">
        <v>123</v>
      </c>
    </row>
    <row r="27" customFormat="false" ht="24" hidden="false" customHeight="true" outlineLevel="0" collapsed="false">
      <c r="A27" s="48" t="s">
        <v>215</v>
      </c>
      <c r="B27" s="49" t="s">
        <v>127</v>
      </c>
      <c r="C27" s="50" t="s">
        <v>216</v>
      </c>
      <c r="D27" s="51" t="s">
        <v>158</v>
      </c>
      <c r="E27" s="51" t="s">
        <v>113</v>
      </c>
      <c r="F27" s="49" t="s">
        <v>127</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30"/>
    <col collapsed="false" customWidth="true" hidden="false" outlineLevel="0" max="4" min="4" style="0" width="28"/>
    <col collapsed="false" customWidth="true" hidden="false" outlineLevel="0" max="5" min="5" style="0" width="44"/>
    <col collapsed="false" customWidth="true" hidden="false" outlineLevel="0" max="6" min="6" style="0" width="28"/>
    <col collapsed="false" customWidth="true" hidden="false" outlineLevel="0" max="7" min="7" style="0" width="30"/>
    <col collapsed="false" customWidth="true" hidden="false" outlineLevel="0" max="8" min="8" style="0" width="22"/>
    <col collapsed="false" customWidth="true" hidden="false" outlineLevel="0" max="9" min="9" style="0" width="11"/>
    <col collapsed="false" customWidth="true" hidden="false" outlineLevel="0" max="10" min="10" style="0" width="10"/>
    <col collapsed="false" customWidth="true" hidden="false" outlineLevel="0" max="11" min="11" style="0" width="14"/>
    <col collapsed="false" customWidth="true" hidden="false" outlineLevel="0" max="12" min="12" style="0" width="11"/>
    <col collapsed="false" customWidth="true" hidden="false" outlineLevel="0" max="13" min="13" style="0" width="13"/>
    <col collapsed="false" customWidth="true" hidden="false" outlineLevel="0" max="14" min="14" style="0" width="22"/>
  </cols>
  <sheetData>
    <row r="1" customFormat="false" ht="31.5" hidden="false" customHeight="true" outlineLevel="0" collapsed="false">
      <c r="A1" s="29" t="s">
        <v>217</v>
      </c>
      <c r="B1" s="29"/>
      <c r="C1" s="29"/>
      <c r="D1" s="29"/>
      <c r="E1" s="29"/>
      <c r="F1" s="29"/>
      <c r="G1" s="29"/>
      <c r="H1" s="29"/>
      <c r="I1" s="29"/>
      <c r="J1" s="29"/>
      <c r="K1" s="29"/>
      <c r="L1" s="29"/>
      <c r="M1" s="29"/>
      <c r="N1" s="29"/>
    </row>
    <row r="2" customFormat="false" ht="27.75" hidden="false" customHeight="true" outlineLevel="0" collapsed="false">
      <c r="A2" s="30" t="s">
        <v>218</v>
      </c>
      <c r="B2" s="30" t="s">
        <v>142</v>
      </c>
      <c r="C2" s="30" t="s">
        <v>219</v>
      </c>
      <c r="D2" s="30" t="s">
        <v>220</v>
      </c>
      <c r="E2" s="30" t="s">
        <v>221</v>
      </c>
      <c r="F2" s="30" t="s">
        <v>222</v>
      </c>
      <c r="G2" s="30" t="s">
        <v>223</v>
      </c>
      <c r="H2" s="30" t="s">
        <v>224</v>
      </c>
      <c r="I2" s="30" t="s">
        <v>147</v>
      </c>
      <c r="J2" s="30" t="s">
        <v>75</v>
      </c>
      <c r="K2" s="30" t="s">
        <v>153</v>
      </c>
      <c r="L2" s="30" t="s">
        <v>225</v>
      </c>
      <c r="M2" s="30" t="s">
        <v>226</v>
      </c>
      <c r="N2" s="30" t="s">
        <v>227</v>
      </c>
    </row>
    <row r="3" customFormat="false" ht="51.75" hidden="false" customHeight="true" outlineLevel="0" collapsed="false">
      <c r="A3" s="58" t="s">
        <v>228</v>
      </c>
      <c r="B3" s="59" t="s">
        <v>156</v>
      </c>
      <c r="C3" s="59" t="s">
        <v>229</v>
      </c>
      <c r="D3" s="59" t="s">
        <v>230</v>
      </c>
      <c r="E3" s="59" t="s">
        <v>231</v>
      </c>
      <c r="F3" s="59" t="s">
        <v>232</v>
      </c>
      <c r="G3" s="59" t="s">
        <v>233</v>
      </c>
      <c r="H3" s="59" t="s">
        <v>234</v>
      </c>
      <c r="I3" s="60" t="s">
        <v>235</v>
      </c>
      <c r="J3" s="61" t="s">
        <v>92</v>
      </c>
      <c r="K3" s="62" t="s">
        <v>159</v>
      </c>
      <c r="L3" s="62" t="s">
        <v>80</v>
      </c>
      <c r="M3" s="62" t="s">
        <v>236</v>
      </c>
      <c r="N3" s="59" t="s">
        <v>237</v>
      </c>
    </row>
    <row r="4" customFormat="false" ht="51.75" hidden="false" customHeight="true" outlineLevel="0" collapsed="false">
      <c r="A4" s="63" t="s">
        <v>238</v>
      </c>
      <c r="B4" s="64" t="s">
        <v>156</v>
      </c>
      <c r="C4" s="64" t="s">
        <v>239</v>
      </c>
      <c r="D4" s="64" t="s">
        <v>240</v>
      </c>
      <c r="E4" s="64" t="s">
        <v>241</v>
      </c>
      <c r="F4" s="64" t="s">
        <v>242</v>
      </c>
      <c r="G4" s="64" t="s">
        <v>243</v>
      </c>
      <c r="H4" s="64" t="s">
        <v>244</v>
      </c>
      <c r="I4" s="60" t="s">
        <v>235</v>
      </c>
      <c r="J4" s="61" t="s">
        <v>92</v>
      </c>
      <c r="K4" s="65" t="s">
        <v>159</v>
      </c>
      <c r="L4" s="65" t="s">
        <v>80</v>
      </c>
      <c r="M4" s="65" t="s">
        <v>236</v>
      </c>
      <c r="N4" s="64" t="s">
        <v>245</v>
      </c>
    </row>
    <row r="5" customFormat="false" ht="51.75" hidden="false" customHeight="true" outlineLevel="0" collapsed="false">
      <c r="A5" s="58" t="s">
        <v>246</v>
      </c>
      <c r="B5" s="59" t="s">
        <v>156</v>
      </c>
      <c r="C5" s="59" t="s">
        <v>247</v>
      </c>
      <c r="D5" s="59" t="s">
        <v>248</v>
      </c>
      <c r="E5" s="59" t="s">
        <v>249</v>
      </c>
      <c r="F5" s="59" t="s">
        <v>250</v>
      </c>
      <c r="G5" s="59" t="s">
        <v>251</v>
      </c>
      <c r="H5" s="59" t="s">
        <v>252</v>
      </c>
      <c r="I5" s="60" t="s">
        <v>235</v>
      </c>
      <c r="J5" s="61" t="s">
        <v>92</v>
      </c>
      <c r="K5" s="62" t="s">
        <v>165</v>
      </c>
      <c r="L5" s="62" t="s">
        <v>80</v>
      </c>
      <c r="M5" s="62" t="s">
        <v>253</v>
      </c>
      <c r="N5" s="59" t="s">
        <v>254</v>
      </c>
    </row>
    <row r="6" customFormat="false" ht="51.75" hidden="false" customHeight="true" outlineLevel="0" collapsed="false">
      <c r="A6" s="63" t="s">
        <v>255</v>
      </c>
      <c r="B6" s="64" t="s">
        <v>81</v>
      </c>
      <c r="C6" s="64" t="s">
        <v>256</v>
      </c>
      <c r="D6" s="64" t="s">
        <v>257</v>
      </c>
      <c r="E6" s="64" t="s">
        <v>258</v>
      </c>
      <c r="F6" s="64" t="s">
        <v>259</v>
      </c>
      <c r="G6" s="64" t="s">
        <v>260</v>
      </c>
      <c r="H6" s="64" t="s">
        <v>261</v>
      </c>
      <c r="I6" s="60" t="s">
        <v>235</v>
      </c>
      <c r="J6" s="61" t="s">
        <v>92</v>
      </c>
      <c r="K6" s="65" t="s">
        <v>159</v>
      </c>
      <c r="L6" s="65" t="s">
        <v>80</v>
      </c>
      <c r="M6" s="65" t="s">
        <v>236</v>
      </c>
      <c r="N6" s="64" t="s">
        <v>262</v>
      </c>
    </row>
    <row r="7" customFormat="false" ht="51.75" hidden="false" customHeight="true" outlineLevel="0" collapsed="false">
      <c r="A7" s="58" t="s">
        <v>263</v>
      </c>
      <c r="B7" s="59" t="s">
        <v>81</v>
      </c>
      <c r="C7" s="59" t="s">
        <v>264</v>
      </c>
      <c r="D7" s="59" t="s">
        <v>265</v>
      </c>
      <c r="E7" s="59" t="s">
        <v>266</v>
      </c>
      <c r="F7" s="59" t="s">
        <v>267</v>
      </c>
      <c r="G7" s="59" t="s">
        <v>268</v>
      </c>
      <c r="H7" s="59" t="s">
        <v>269</v>
      </c>
      <c r="I7" s="60" t="s">
        <v>235</v>
      </c>
      <c r="J7" s="61" t="s">
        <v>92</v>
      </c>
      <c r="K7" s="62" t="s">
        <v>172</v>
      </c>
      <c r="L7" s="62" t="s">
        <v>80</v>
      </c>
      <c r="M7" s="62" t="s">
        <v>253</v>
      </c>
      <c r="N7" s="59" t="s">
        <v>270</v>
      </c>
    </row>
    <row r="8" customFormat="false" ht="51.75" hidden="false" customHeight="true" outlineLevel="0" collapsed="false">
      <c r="A8" s="63" t="s">
        <v>271</v>
      </c>
      <c r="B8" s="64" t="s">
        <v>81</v>
      </c>
      <c r="C8" s="64" t="s">
        <v>272</v>
      </c>
      <c r="D8" s="64" t="s">
        <v>273</v>
      </c>
      <c r="E8" s="64" t="s">
        <v>274</v>
      </c>
      <c r="F8" s="64" t="s">
        <v>275</v>
      </c>
      <c r="G8" s="64" t="s">
        <v>276</v>
      </c>
      <c r="H8" s="64" t="s">
        <v>244</v>
      </c>
      <c r="I8" s="60" t="s">
        <v>235</v>
      </c>
      <c r="J8" s="61" t="s">
        <v>92</v>
      </c>
      <c r="K8" s="65" t="s">
        <v>159</v>
      </c>
      <c r="L8" s="65" t="s">
        <v>92</v>
      </c>
      <c r="M8" s="65" t="s">
        <v>236</v>
      </c>
      <c r="N8" s="64" t="s">
        <v>277</v>
      </c>
    </row>
    <row r="9" customFormat="false" ht="51.75" hidden="false" customHeight="true" outlineLevel="0" collapsed="false">
      <c r="A9" s="58" t="s">
        <v>278</v>
      </c>
      <c r="B9" s="59" t="s">
        <v>179</v>
      </c>
      <c r="C9" s="59" t="s">
        <v>279</v>
      </c>
      <c r="D9" s="59" t="s">
        <v>280</v>
      </c>
      <c r="E9" s="59" t="s">
        <v>281</v>
      </c>
      <c r="F9" s="59" t="s">
        <v>282</v>
      </c>
      <c r="G9" s="59" t="s">
        <v>283</v>
      </c>
      <c r="H9" s="59" t="s">
        <v>284</v>
      </c>
      <c r="I9" s="60" t="s">
        <v>235</v>
      </c>
      <c r="J9" s="61" t="s">
        <v>92</v>
      </c>
      <c r="K9" s="62" t="s">
        <v>159</v>
      </c>
      <c r="L9" s="62" t="s">
        <v>80</v>
      </c>
      <c r="M9" s="62" t="s">
        <v>236</v>
      </c>
      <c r="N9" s="59" t="s">
        <v>285</v>
      </c>
    </row>
    <row r="10" customFormat="false" ht="51.75" hidden="false" customHeight="true" outlineLevel="0" collapsed="false">
      <c r="A10" s="63" t="s">
        <v>286</v>
      </c>
      <c r="B10" s="64" t="s">
        <v>179</v>
      </c>
      <c r="C10" s="64" t="s">
        <v>287</v>
      </c>
      <c r="D10" s="64" t="s">
        <v>288</v>
      </c>
      <c r="E10" s="64" t="s">
        <v>289</v>
      </c>
      <c r="F10" s="64" t="s">
        <v>290</v>
      </c>
      <c r="G10" s="64" t="s">
        <v>291</v>
      </c>
      <c r="H10" s="64" t="s">
        <v>244</v>
      </c>
      <c r="I10" s="60" t="s">
        <v>235</v>
      </c>
      <c r="J10" s="61" t="s">
        <v>92</v>
      </c>
      <c r="K10" s="65" t="s">
        <v>165</v>
      </c>
      <c r="L10" s="65" t="s">
        <v>80</v>
      </c>
      <c r="M10" s="65" t="s">
        <v>253</v>
      </c>
      <c r="N10" s="64" t="s">
        <v>292</v>
      </c>
    </row>
    <row r="11" customFormat="false" ht="51.75" hidden="false" customHeight="true" outlineLevel="0" collapsed="false">
      <c r="A11" s="58" t="s">
        <v>293</v>
      </c>
      <c r="B11" s="59" t="s">
        <v>88</v>
      </c>
      <c r="C11" s="59" t="s">
        <v>294</v>
      </c>
      <c r="D11" s="59" t="s">
        <v>295</v>
      </c>
      <c r="E11" s="59" t="s">
        <v>296</v>
      </c>
      <c r="F11" s="59" t="s">
        <v>297</v>
      </c>
      <c r="G11" s="59" t="s">
        <v>298</v>
      </c>
      <c r="H11" s="59" t="s">
        <v>299</v>
      </c>
      <c r="I11" s="60" t="s">
        <v>235</v>
      </c>
      <c r="J11" s="61" t="s">
        <v>92</v>
      </c>
      <c r="K11" s="62" t="s">
        <v>159</v>
      </c>
      <c r="L11" s="62" t="s">
        <v>92</v>
      </c>
      <c r="M11" s="62" t="s">
        <v>236</v>
      </c>
      <c r="N11" s="59" t="s">
        <v>300</v>
      </c>
    </row>
    <row r="12" customFormat="false" ht="51.75" hidden="false" customHeight="true" outlineLevel="0" collapsed="false">
      <c r="A12" s="63" t="s">
        <v>301</v>
      </c>
      <c r="B12" s="64" t="s">
        <v>93</v>
      </c>
      <c r="C12" s="64" t="s">
        <v>302</v>
      </c>
      <c r="D12" s="64" t="s">
        <v>295</v>
      </c>
      <c r="E12" s="64" t="s">
        <v>303</v>
      </c>
      <c r="F12" s="64" t="s">
        <v>304</v>
      </c>
      <c r="G12" s="64" t="s">
        <v>305</v>
      </c>
      <c r="H12" s="64" t="s">
        <v>306</v>
      </c>
      <c r="I12" s="60" t="s">
        <v>235</v>
      </c>
      <c r="J12" s="66" t="s">
        <v>106</v>
      </c>
      <c r="K12" s="65" t="s">
        <v>159</v>
      </c>
      <c r="L12" s="65" t="s">
        <v>92</v>
      </c>
      <c r="M12" s="65" t="s">
        <v>236</v>
      </c>
      <c r="N12" s="64" t="s">
        <v>307</v>
      </c>
    </row>
    <row r="13" customFormat="false" ht="51.75" hidden="false" customHeight="true" outlineLevel="0" collapsed="false">
      <c r="A13" s="58" t="s">
        <v>308</v>
      </c>
      <c r="B13" s="59" t="s">
        <v>96</v>
      </c>
      <c r="C13" s="59" t="s">
        <v>309</v>
      </c>
      <c r="D13" s="59" t="s">
        <v>310</v>
      </c>
      <c r="E13" s="59" t="s">
        <v>311</v>
      </c>
      <c r="F13" s="59" t="s">
        <v>312</v>
      </c>
      <c r="G13" s="59" t="s">
        <v>313</v>
      </c>
      <c r="H13" s="59" t="s">
        <v>314</v>
      </c>
      <c r="I13" s="60" t="s">
        <v>235</v>
      </c>
      <c r="J13" s="61" t="s">
        <v>92</v>
      </c>
      <c r="K13" s="62" t="s">
        <v>172</v>
      </c>
      <c r="L13" s="62" t="s">
        <v>92</v>
      </c>
      <c r="M13" s="62" t="s">
        <v>236</v>
      </c>
      <c r="N13" s="59" t="s">
        <v>315</v>
      </c>
    </row>
    <row r="14" customFormat="false" ht="51.75" hidden="false" customHeight="true" outlineLevel="0" collapsed="false">
      <c r="A14" s="63" t="s">
        <v>316</v>
      </c>
      <c r="B14" s="64" t="s">
        <v>96</v>
      </c>
      <c r="C14" s="64" t="s">
        <v>317</v>
      </c>
      <c r="D14" s="64" t="s">
        <v>295</v>
      </c>
      <c r="E14" s="64" t="s">
        <v>318</v>
      </c>
      <c r="F14" s="64" t="s">
        <v>319</v>
      </c>
      <c r="G14" s="64" t="s">
        <v>320</v>
      </c>
      <c r="H14" s="64" t="s">
        <v>244</v>
      </c>
      <c r="I14" s="60" t="s">
        <v>235</v>
      </c>
      <c r="J14" s="61" t="s">
        <v>92</v>
      </c>
      <c r="K14" s="65" t="s">
        <v>159</v>
      </c>
      <c r="L14" s="65" t="s">
        <v>80</v>
      </c>
      <c r="M14" s="65" t="s">
        <v>253</v>
      </c>
      <c r="N14" s="64" t="s">
        <v>245</v>
      </c>
    </row>
    <row r="15" customFormat="false" ht="51.75" hidden="false" customHeight="true" outlineLevel="0" collapsed="false">
      <c r="A15" s="58" t="s">
        <v>321</v>
      </c>
      <c r="B15" s="59" t="s">
        <v>99</v>
      </c>
      <c r="C15" s="59" t="s">
        <v>322</v>
      </c>
      <c r="D15" s="59" t="s">
        <v>323</v>
      </c>
      <c r="E15" s="59" t="s">
        <v>324</v>
      </c>
      <c r="F15" s="59" t="s">
        <v>325</v>
      </c>
      <c r="G15" s="59" t="s">
        <v>326</v>
      </c>
      <c r="H15" s="59" t="s">
        <v>327</v>
      </c>
      <c r="I15" s="60" t="s">
        <v>235</v>
      </c>
      <c r="J15" s="61" t="s">
        <v>92</v>
      </c>
      <c r="K15" s="62" t="s">
        <v>159</v>
      </c>
      <c r="L15" s="62" t="s">
        <v>92</v>
      </c>
      <c r="M15" s="62" t="s">
        <v>236</v>
      </c>
      <c r="N15" s="59" t="s">
        <v>328</v>
      </c>
    </row>
    <row r="16" customFormat="false" ht="51.75" hidden="false" customHeight="true" outlineLevel="0" collapsed="false">
      <c r="A16" s="63" t="s">
        <v>329</v>
      </c>
      <c r="B16" s="64" t="s">
        <v>196</v>
      </c>
      <c r="C16" s="64" t="s">
        <v>330</v>
      </c>
      <c r="D16" s="64" t="s">
        <v>331</v>
      </c>
      <c r="E16" s="64" t="s">
        <v>332</v>
      </c>
      <c r="F16" s="64" t="s">
        <v>333</v>
      </c>
      <c r="G16" s="64" t="s">
        <v>334</v>
      </c>
      <c r="H16" s="64" t="s">
        <v>335</v>
      </c>
      <c r="I16" s="60" t="s">
        <v>235</v>
      </c>
      <c r="J16" s="66" t="s">
        <v>106</v>
      </c>
      <c r="K16" s="65" t="s">
        <v>159</v>
      </c>
      <c r="L16" s="65" t="s">
        <v>92</v>
      </c>
      <c r="M16" s="65" t="s">
        <v>236</v>
      </c>
      <c r="N16" s="64" t="s">
        <v>336</v>
      </c>
    </row>
    <row r="17" customFormat="false" ht="51.75" hidden="false" customHeight="true" outlineLevel="0" collapsed="false">
      <c r="A17" s="58" t="s">
        <v>337</v>
      </c>
      <c r="B17" s="59" t="s">
        <v>204</v>
      </c>
      <c r="C17" s="59" t="s">
        <v>338</v>
      </c>
      <c r="D17" s="59" t="s">
        <v>339</v>
      </c>
      <c r="E17" s="59" t="s">
        <v>340</v>
      </c>
      <c r="F17" s="59" t="s">
        <v>341</v>
      </c>
      <c r="G17" s="59" t="s">
        <v>342</v>
      </c>
      <c r="H17" s="59" t="s">
        <v>343</v>
      </c>
      <c r="I17" s="60" t="s">
        <v>235</v>
      </c>
      <c r="J17" s="61" t="s">
        <v>92</v>
      </c>
      <c r="K17" s="62" t="s">
        <v>159</v>
      </c>
      <c r="L17" s="62" t="s">
        <v>80</v>
      </c>
      <c r="M17" s="62" t="s">
        <v>236</v>
      </c>
      <c r="N17" s="59" t="s">
        <v>344</v>
      </c>
    </row>
    <row r="18" customFormat="false" ht="51.75" hidden="false" customHeight="true" outlineLevel="0" collapsed="false">
      <c r="A18" s="63" t="s">
        <v>345</v>
      </c>
      <c r="B18" s="64" t="s">
        <v>204</v>
      </c>
      <c r="C18" s="64" t="s">
        <v>346</v>
      </c>
      <c r="D18" s="64" t="s">
        <v>339</v>
      </c>
      <c r="E18" s="64" t="s">
        <v>347</v>
      </c>
      <c r="F18" s="64" t="s">
        <v>348</v>
      </c>
      <c r="G18" s="64" t="s">
        <v>349</v>
      </c>
      <c r="H18" s="64" t="s">
        <v>350</v>
      </c>
      <c r="I18" s="60" t="s">
        <v>235</v>
      </c>
      <c r="J18" s="61" t="s">
        <v>92</v>
      </c>
      <c r="K18" s="65" t="s">
        <v>165</v>
      </c>
      <c r="L18" s="65" t="s">
        <v>92</v>
      </c>
      <c r="M18" s="65" t="s">
        <v>253</v>
      </c>
      <c r="N18" s="64" t="s">
        <v>351</v>
      </c>
    </row>
    <row r="19" customFormat="false" ht="51.75" hidden="false" customHeight="true" outlineLevel="0" collapsed="false">
      <c r="A19" s="58" t="s">
        <v>352</v>
      </c>
      <c r="B19" s="59" t="s">
        <v>201</v>
      </c>
      <c r="C19" s="59" t="s">
        <v>353</v>
      </c>
      <c r="D19" s="59" t="s">
        <v>295</v>
      </c>
      <c r="E19" s="59" t="s">
        <v>354</v>
      </c>
      <c r="F19" s="59" t="s">
        <v>355</v>
      </c>
      <c r="G19" s="59" t="s">
        <v>356</v>
      </c>
      <c r="H19" s="59" t="s">
        <v>357</v>
      </c>
      <c r="I19" s="60" t="s">
        <v>235</v>
      </c>
      <c r="J19" s="66" t="s">
        <v>106</v>
      </c>
      <c r="K19" s="62" t="s">
        <v>159</v>
      </c>
      <c r="L19" s="62" t="s">
        <v>106</v>
      </c>
      <c r="M19" s="62" t="s">
        <v>236</v>
      </c>
      <c r="N19" s="59" t="s">
        <v>358</v>
      </c>
    </row>
    <row r="20" customFormat="false" ht="51.75" hidden="false" customHeight="true" outlineLevel="0" collapsed="false">
      <c r="A20" s="63" t="s">
        <v>359</v>
      </c>
      <c r="B20" s="64" t="s">
        <v>117</v>
      </c>
      <c r="C20" s="64" t="s">
        <v>360</v>
      </c>
      <c r="D20" s="64" t="s">
        <v>361</v>
      </c>
      <c r="E20" s="64" t="s">
        <v>362</v>
      </c>
      <c r="F20" s="64" t="s">
        <v>363</v>
      </c>
      <c r="G20" s="64" t="s">
        <v>364</v>
      </c>
      <c r="H20" s="64" t="s">
        <v>365</v>
      </c>
      <c r="I20" s="60" t="s">
        <v>235</v>
      </c>
      <c r="J20" s="61" t="s">
        <v>92</v>
      </c>
      <c r="K20" s="65" t="s">
        <v>159</v>
      </c>
      <c r="L20" s="65" t="s">
        <v>92</v>
      </c>
      <c r="M20" s="65" t="s">
        <v>236</v>
      </c>
      <c r="N20" s="64" t="s">
        <v>366</v>
      </c>
    </row>
    <row r="21" customFormat="false" ht="51.75" hidden="false" customHeight="true" outlineLevel="0" collapsed="false">
      <c r="A21" s="58" t="s">
        <v>367</v>
      </c>
      <c r="B21" s="59" t="s">
        <v>211</v>
      </c>
      <c r="C21" s="59" t="s">
        <v>368</v>
      </c>
      <c r="D21" s="59" t="s">
        <v>295</v>
      </c>
      <c r="E21" s="59" t="s">
        <v>369</v>
      </c>
      <c r="F21" s="59" t="s">
        <v>370</v>
      </c>
      <c r="G21" s="59" t="s">
        <v>371</v>
      </c>
      <c r="H21" s="59" t="s">
        <v>372</v>
      </c>
      <c r="I21" s="60" t="s">
        <v>235</v>
      </c>
      <c r="J21" s="61" t="s">
        <v>92</v>
      </c>
      <c r="K21" s="62" t="s">
        <v>165</v>
      </c>
      <c r="L21" s="62" t="s">
        <v>92</v>
      </c>
      <c r="M21" s="62" t="s">
        <v>253</v>
      </c>
      <c r="N21" s="59" t="s">
        <v>373</v>
      </c>
    </row>
    <row r="22" customFormat="false" ht="51.75" hidden="false" customHeight="true" outlineLevel="0" collapsed="false">
      <c r="A22" s="63" t="s">
        <v>374</v>
      </c>
      <c r="B22" s="64" t="s">
        <v>123</v>
      </c>
      <c r="C22" s="64" t="s">
        <v>375</v>
      </c>
      <c r="D22" s="64" t="s">
        <v>376</v>
      </c>
      <c r="E22" s="64" t="s">
        <v>377</v>
      </c>
      <c r="F22" s="64" t="s">
        <v>378</v>
      </c>
      <c r="G22" s="64" t="s">
        <v>379</v>
      </c>
      <c r="H22" s="64" t="s">
        <v>380</v>
      </c>
      <c r="I22" s="60" t="s">
        <v>235</v>
      </c>
      <c r="J22" s="66" t="s">
        <v>106</v>
      </c>
      <c r="K22" s="65" t="s">
        <v>123</v>
      </c>
      <c r="L22" s="65" t="s">
        <v>106</v>
      </c>
      <c r="M22" s="65" t="s">
        <v>236</v>
      </c>
      <c r="N22" s="64" t="s">
        <v>381</v>
      </c>
    </row>
    <row r="23" customFormat="false" ht="51.75" hidden="false" customHeight="true" outlineLevel="0" collapsed="false">
      <c r="A23" s="58" t="s">
        <v>382</v>
      </c>
      <c r="B23" s="59" t="s">
        <v>196</v>
      </c>
      <c r="C23" s="59" t="s">
        <v>383</v>
      </c>
      <c r="D23" s="59" t="s">
        <v>384</v>
      </c>
      <c r="E23" s="59" t="s">
        <v>385</v>
      </c>
      <c r="F23" s="59" t="s">
        <v>386</v>
      </c>
      <c r="G23" s="59" t="s">
        <v>387</v>
      </c>
      <c r="H23" s="59" t="s">
        <v>388</v>
      </c>
      <c r="I23" s="60" t="s">
        <v>235</v>
      </c>
      <c r="J23" s="66" t="s">
        <v>106</v>
      </c>
      <c r="K23" s="62" t="s">
        <v>159</v>
      </c>
      <c r="L23" s="62" t="s">
        <v>92</v>
      </c>
      <c r="M23" s="62" t="s">
        <v>253</v>
      </c>
      <c r="N23" s="59" t="s">
        <v>389</v>
      </c>
    </row>
    <row r="24" customFormat="false" ht="51.75" hidden="false" customHeight="true" outlineLevel="0" collapsed="false">
      <c r="A24" s="63" t="s">
        <v>390</v>
      </c>
      <c r="B24" s="64" t="s">
        <v>156</v>
      </c>
      <c r="C24" s="64" t="s">
        <v>391</v>
      </c>
      <c r="D24" s="64" t="s">
        <v>392</v>
      </c>
      <c r="E24" s="64" t="s">
        <v>393</v>
      </c>
      <c r="F24" s="64" t="s">
        <v>394</v>
      </c>
      <c r="G24" s="64" t="s">
        <v>395</v>
      </c>
      <c r="H24" s="64" t="s">
        <v>396</v>
      </c>
      <c r="I24" s="60" t="s">
        <v>235</v>
      </c>
      <c r="J24" s="61" t="s">
        <v>92</v>
      </c>
      <c r="K24" s="65" t="s">
        <v>165</v>
      </c>
      <c r="L24" s="65" t="s">
        <v>92</v>
      </c>
      <c r="M24" s="65" t="s">
        <v>236</v>
      </c>
      <c r="N24" s="64" t="s">
        <v>397</v>
      </c>
    </row>
    <row r="25" customFormat="false" ht="51.75" hidden="false" customHeight="true" outlineLevel="0" collapsed="false">
      <c r="A25" s="58" t="s">
        <v>398</v>
      </c>
      <c r="B25" s="59" t="s">
        <v>81</v>
      </c>
      <c r="C25" s="59" t="s">
        <v>399</v>
      </c>
      <c r="D25" s="59" t="s">
        <v>400</v>
      </c>
      <c r="E25" s="59" t="s">
        <v>401</v>
      </c>
      <c r="F25" s="59" t="s">
        <v>402</v>
      </c>
      <c r="G25" s="59" t="s">
        <v>403</v>
      </c>
      <c r="H25" s="59" t="s">
        <v>404</v>
      </c>
      <c r="I25" s="60" t="s">
        <v>235</v>
      </c>
      <c r="J25" s="61" t="s">
        <v>92</v>
      </c>
      <c r="K25" s="62" t="s">
        <v>172</v>
      </c>
      <c r="L25" s="62" t="s">
        <v>80</v>
      </c>
      <c r="M25" s="62" t="s">
        <v>253</v>
      </c>
      <c r="N25" s="59" t="s">
        <v>405</v>
      </c>
    </row>
    <row r="26" customFormat="false" ht="51.75" hidden="false" customHeight="true" outlineLevel="0" collapsed="false">
      <c r="A26" s="63" t="s">
        <v>406</v>
      </c>
      <c r="B26" s="64" t="s">
        <v>110</v>
      </c>
      <c r="C26" s="64" t="s">
        <v>407</v>
      </c>
      <c r="D26" s="64" t="s">
        <v>408</v>
      </c>
      <c r="E26" s="64" t="s">
        <v>409</v>
      </c>
      <c r="F26" s="64" t="s">
        <v>410</v>
      </c>
      <c r="G26" s="64" t="s">
        <v>411</v>
      </c>
      <c r="H26" s="64" t="s">
        <v>412</v>
      </c>
      <c r="I26" s="60" t="s">
        <v>235</v>
      </c>
      <c r="J26" s="67" t="s">
        <v>113</v>
      </c>
      <c r="K26" s="65" t="s">
        <v>159</v>
      </c>
      <c r="L26" s="65" t="s">
        <v>106</v>
      </c>
      <c r="M26" s="65" t="s">
        <v>236</v>
      </c>
      <c r="N26" s="64" t="s">
        <v>413</v>
      </c>
    </row>
    <row r="27" customFormat="false" ht="51.75" hidden="false" customHeight="true" outlineLevel="0" collapsed="false">
      <c r="A27" s="58" t="s">
        <v>414</v>
      </c>
      <c r="B27" s="59" t="s">
        <v>127</v>
      </c>
      <c r="C27" s="59" t="s">
        <v>415</v>
      </c>
      <c r="D27" s="59" t="s">
        <v>416</v>
      </c>
      <c r="E27" s="59" t="s">
        <v>417</v>
      </c>
      <c r="F27" s="59" t="s">
        <v>418</v>
      </c>
      <c r="G27" s="59" t="s">
        <v>419</v>
      </c>
      <c r="H27" s="59" t="s">
        <v>420</v>
      </c>
      <c r="I27" s="60" t="s">
        <v>235</v>
      </c>
      <c r="J27" s="67" t="s">
        <v>113</v>
      </c>
      <c r="K27" s="62" t="s">
        <v>127</v>
      </c>
      <c r="L27" s="62" t="s">
        <v>113</v>
      </c>
      <c r="M27" s="62" t="s">
        <v>236</v>
      </c>
      <c r="N27" s="59" t="s">
        <v>421</v>
      </c>
    </row>
  </sheetData>
  <autoFilter ref="A2:N27"/>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6"/>
    <col collapsed="false" customWidth="true" hidden="false" outlineLevel="0" max="4" min="3" style="0" width="22"/>
  </cols>
  <sheetData>
    <row r="1" customFormat="false" ht="31.5" hidden="false" customHeight="true" outlineLevel="0" collapsed="false">
      <c r="A1" s="26" t="s">
        <v>422</v>
      </c>
      <c r="B1" s="26"/>
      <c r="C1" s="26"/>
      <c r="D1" s="26"/>
      <c r="E1" s="26"/>
      <c r="F1" s="26"/>
    </row>
    <row r="3" customFormat="false" ht="24" hidden="false" customHeight="true" outlineLevel="0" collapsed="false">
      <c r="A3" s="68" t="s">
        <v>423</v>
      </c>
      <c r="B3" s="68" t="s">
        <v>424</v>
      </c>
      <c r="C3" s="68" t="s">
        <v>425</v>
      </c>
      <c r="D3" s="68" t="s">
        <v>426</v>
      </c>
    </row>
    <row r="4" customFormat="false" ht="24" hidden="false" customHeight="true" outlineLevel="0" collapsed="false">
      <c r="A4" s="69" t="s">
        <v>226</v>
      </c>
      <c r="B4" s="70" t="s">
        <v>427</v>
      </c>
      <c r="C4" s="70" t="s">
        <v>428</v>
      </c>
      <c r="D4" s="70" t="s">
        <v>429</v>
      </c>
    </row>
    <row r="5" customFormat="false" ht="24" hidden="false" customHeight="true" outlineLevel="0" collapsed="false">
      <c r="A5" s="69" t="s">
        <v>430</v>
      </c>
      <c r="B5" s="71" t="s">
        <v>431</v>
      </c>
      <c r="C5" s="71" t="s">
        <v>432</v>
      </c>
      <c r="D5" s="71" t="s">
        <v>433</v>
      </c>
    </row>
    <row r="6" customFormat="false" ht="24" hidden="false" customHeight="true" outlineLevel="0" collapsed="false">
      <c r="A6" s="69" t="s">
        <v>434</v>
      </c>
      <c r="B6" s="70" t="s">
        <v>435</v>
      </c>
      <c r="C6" s="70" t="s">
        <v>436</v>
      </c>
      <c r="D6" s="70" t="s">
        <v>437</v>
      </c>
    </row>
    <row r="7" customFormat="false" ht="24" hidden="false" customHeight="true" outlineLevel="0" collapsed="false">
      <c r="A7" s="69" t="s">
        <v>438</v>
      </c>
      <c r="B7" s="71" t="s">
        <v>439</v>
      </c>
      <c r="C7" s="71" t="s">
        <v>440</v>
      </c>
      <c r="D7" s="71" t="s">
        <v>441</v>
      </c>
    </row>
    <row r="8" customFormat="false" ht="24" hidden="false" customHeight="true" outlineLevel="0" collapsed="false">
      <c r="A8" s="69" t="s">
        <v>442</v>
      </c>
      <c r="B8" s="70" t="s">
        <v>443</v>
      </c>
      <c r="C8" s="70" t="s">
        <v>444</v>
      </c>
      <c r="D8" s="70" t="s">
        <v>445</v>
      </c>
    </row>
    <row r="9" customFormat="false" ht="24" hidden="false" customHeight="true" outlineLevel="0" collapsed="false">
      <c r="A9" s="69" t="s">
        <v>446</v>
      </c>
      <c r="B9" s="71" t="s">
        <v>447</v>
      </c>
      <c r="C9" s="71" t="s">
        <v>448</v>
      </c>
      <c r="D9" s="71" t="s">
        <v>449</v>
      </c>
    </row>
    <row r="10" customFormat="false" ht="24" hidden="false" customHeight="true" outlineLevel="0" collapsed="false">
      <c r="A10" s="69" t="s">
        <v>450</v>
      </c>
      <c r="B10" s="70" t="s">
        <v>451</v>
      </c>
      <c r="C10" s="70" t="s">
        <v>452</v>
      </c>
      <c r="D10" s="70" t="s">
        <v>453</v>
      </c>
    </row>
    <row r="11" customFormat="false" ht="24" hidden="false" customHeight="true" outlineLevel="0" collapsed="false">
      <c r="A11" s="69" t="s">
        <v>454</v>
      </c>
      <c r="B11" s="71" t="s">
        <v>455</v>
      </c>
      <c r="C11" s="71" t="s">
        <v>455</v>
      </c>
      <c r="D11" s="71" t="s">
        <v>130</v>
      </c>
    </row>
    <row r="12" customFormat="false" ht="24" hidden="false" customHeight="true" outlineLevel="0" collapsed="false">
      <c r="A12" s="69" t="s">
        <v>456</v>
      </c>
      <c r="B12" s="70" t="s">
        <v>457</v>
      </c>
      <c r="C12" s="70" t="s">
        <v>458</v>
      </c>
      <c r="D12" s="70" t="s">
        <v>459</v>
      </c>
    </row>
    <row r="13" customFormat="false" ht="24" hidden="false" customHeight="true" outlineLevel="0" collapsed="false">
      <c r="A13" s="69" t="s">
        <v>460</v>
      </c>
      <c r="B13" s="71" t="s">
        <v>461</v>
      </c>
      <c r="C13" s="71" t="s">
        <v>462</v>
      </c>
      <c r="D13" s="71" t="s">
        <v>463</v>
      </c>
    </row>
    <row r="14" customFormat="false" ht="24" hidden="false" customHeight="true" outlineLevel="0" collapsed="false">
      <c r="A14" s="69" t="s">
        <v>222</v>
      </c>
      <c r="B14" s="70" t="s">
        <v>464</v>
      </c>
      <c r="C14" s="70" t="s">
        <v>465</v>
      </c>
      <c r="D14" s="70" t="s">
        <v>466</v>
      </c>
    </row>
    <row r="15" customFormat="false" ht="24" hidden="false" customHeight="true" outlineLevel="0" collapsed="false">
      <c r="A15" s="69" t="s">
        <v>467</v>
      </c>
      <c r="B15" s="71" t="s">
        <v>468</v>
      </c>
      <c r="C15" s="71" t="s">
        <v>469</v>
      </c>
      <c r="D15" s="71" t="s">
        <v>470</v>
      </c>
    </row>
    <row r="17" customFormat="false" ht="24" hidden="false" customHeight="true" outlineLevel="0" collapsed="false">
      <c r="A17" s="40" t="s">
        <v>471</v>
      </c>
      <c r="B17" s="40"/>
      <c r="C17" s="40"/>
      <c r="D17" s="40"/>
    </row>
    <row r="18" customFormat="false" ht="21.75" hidden="false" customHeight="true" outlineLevel="0" collapsed="false">
      <c r="A18" s="30" t="s">
        <v>472</v>
      </c>
      <c r="B18" s="30" t="s">
        <v>473</v>
      </c>
      <c r="C18" s="30" t="s">
        <v>147</v>
      </c>
      <c r="D18" s="30" t="s">
        <v>20</v>
      </c>
    </row>
    <row r="19" customFormat="false" ht="19.5" hidden="false" customHeight="true" outlineLevel="0" collapsed="false">
      <c r="A19" s="72" t="s">
        <v>474</v>
      </c>
      <c r="B19" s="73" t="s">
        <v>475</v>
      </c>
      <c r="C19" s="74" t="s">
        <v>235</v>
      </c>
      <c r="D19" s="72" t="s">
        <v>457</v>
      </c>
    </row>
    <row r="20" customFormat="false" ht="19.5" hidden="false" customHeight="true" outlineLevel="0" collapsed="false">
      <c r="A20" s="75" t="s">
        <v>476</v>
      </c>
      <c r="B20" s="76" t="s">
        <v>477</v>
      </c>
      <c r="C20" s="74" t="s">
        <v>235</v>
      </c>
      <c r="D20" s="75" t="s">
        <v>457</v>
      </c>
    </row>
    <row r="21" customFormat="false" ht="19.5" hidden="false" customHeight="true" outlineLevel="0" collapsed="false">
      <c r="A21" s="72" t="s">
        <v>478</v>
      </c>
      <c r="B21" s="73" t="s">
        <v>479</v>
      </c>
      <c r="C21" s="74" t="s">
        <v>235</v>
      </c>
      <c r="D21" s="72" t="s">
        <v>457</v>
      </c>
    </row>
    <row r="22" customFormat="false" ht="19.5" hidden="false" customHeight="true" outlineLevel="0" collapsed="false">
      <c r="A22" s="75" t="s">
        <v>480</v>
      </c>
      <c r="B22" s="76" t="s">
        <v>481</v>
      </c>
      <c r="C22" s="74" t="s">
        <v>235</v>
      </c>
      <c r="D22" s="75" t="s">
        <v>457</v>
      </c>
    </row>
    <row r="23" customFormat="false" ht="19.5" hidden="false" customHeight="true" outlineLevel="0" collapsed="false">
      <c r="A23" s="72" t="s">
        <v>482</v>
      </c>
      <c r="B23" s="73" t="s">
        <v>483</v>
      </c>
      <c r="C23" s="74" t="s">
        <v>235</v>
      </c>
      <c r="D23" s="72" t="s">
        <v>457</v>
      </c>
    </row>
    <row r="24" customFormat="false" ht="19.5" hidden="false" customHeight="true" outlineLevel="0" collapsed="false">
      <c r="A24" s="75" t="s">
        <v>484</v>
      </c>
      <c r="B24" s="76" t="s">
        <v>485</v>
      </c>
      <c r="C24" s="74" t="s">
        <v>235</v>
      </c>
      <c r="D24" s="75" t="s">
        <v>457</v>
      </c>
    </row>
    <row r="25" customFormat="false" ht="19.5" hidden="false" customHeight="true" outlineLevel="0" collapsed="false">
      <c r="A25" s="72" t="s">
        <v>486</v>
      </c>
      <c r="B25" s="73" t="s">
        <v>487</v>
      </c>
      <c r="C25" s="74" t="s">
        <v>235</v>
      </c>
      <c r="D25" s="72" t="s">
        <v>457</v>
      </c>
    </row>
    <row r="26" customFormat="false" ht="19.5" hidden="false" customHeight="true" outlineLevel="0" collapsed="false">
      <c r="A26" s="75" t="s">
        <v>488</v>
      </c>
      <c r="B26" s="76" t="s">
        <v>489</v>
      </c>
      <c r="C26" s="74" t="s">
        <v>235</v>
      </c>
      <c r="D26" s="75" t="s">
        <v>457</v>
      </c>
    </row>
  </sheetData>
  <mergeCells count="2">
    <mergeCell ref="A1:F1"/>
    <mergeCell ref="A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6"/>
    <col collapsed="false" customWidth="true" hidden="false" outlineLevel="0" max="4" min="4" style="0" width="14"/>
    <col collapsed="false" customWidth="true" hidden="false" outlineLevel="0" max="6" min="5" style="0" width="12"/>
    <col collapsed="false" customWidth="true" hidden="false" outlineLevel="0" max="7" min="7" style="0" width="14"/>
    <col collapsed="false" customWidth="true" hidden="false" outlineLevel="0" max="8" min="8" style="0" width="24"/>
  </cols>
  <sheetData>
    <row r="1" customFormat="false" ht="31.5" hidden="false" customHeight="true" outlineLevel="0" collapsed="false">
      <c r="A1" s="26" t="s">
        <v>490</v>
      </c>
      <c r="B1" s="26"/>
      <c r="C1" s="26"/>
      <c r="D1" s="26"/>
      <c r="E1" s="26"/>
      <c r="F1" s="26"/>
      <c r="G1" s="26"/>
      <c r="H1" s="26"/>
    </row>
    <row r="2" customFormat="false" ht="24" hidden="false" customHeight="true" outlineLevel="0" collapsed="false">
      <c r="A2" s="30" t="s">
        <v>218</v>
      </c>
      <c r="B2" s="30" t="s">
        <v>142</v>
      </c>
      <c r="C2" s="30" t="s">
        <v>491</v>
      </c>
      <c r="D2" s="30" t="s">
        <v>492</v>
      </c>
      <c r="E2" s="30" t="s">
        <v>493</v>
      </c>
      <c r="F2" s="30" t="s">
        <v>147</v>
      </c>
      <c r="G2" s="30" t="s">
        <v>494</v>
      </c>
      <c r="H2" s="30" t="s">
        <v>495</v>
      </c>
    </row>
    <row r="3" customFormat="false" ht="19.5" hidden="false" customHeight="true" outlineLevel="0" collapsed="false">
      <c r="A3" s="31" t="s">
        <v>228</v>
      </c>
      <c r="B3" s="32" t="s">
        <v>156</v>
      </c>
      <c r="C3" s="77" t="s">
        <v>496</v>
      </c>
      <c r="D3" s="31" t="s">
        <v>457</v>
      </c>
      <c r="E3" s="31" t="s">
        <v>497</v>
      </c>
      <c r="F3" s="43" t="s">
        <v>235</v>
      </c>
      <c r="G3" s="31" t="s">
        <v>498</v>
      </c>
      <c r="H3" s="32" t="s">
        <v>499</v>
      </c>
    </row>
    <row r="4" customFormat="false" ht="19.5" hidden="false" customHeight="true" outlineLevel="0" collapsed="false">
      <c r="A4" s="34" t="s">
        <v>238</v>
      </c>
      <c r="B4" s="35" t="s">
        <v>156</v>
      </c>
      <c r="C4" s="78" t="s">
        <v>496</v>
      </c>
      <c r="D4" s="34" t="s">
        <v>457</v>
      </c>
      <c r="E4" s="34" t="s">
        <v>497</v>
      </c>
      <c r="F4" s="43" t="s">
        <v>235</v>
      </c>
      <c r="G4" s="34" t="s">
        <v>498</v>
      </c>
      <c r="H4" s="35" t="s">
        <v>245</v>
      </c>
    </row>
    <row r="5" customFormat="false" ht="19.5" hidden="false" customHeight="true" outlineLevel="0" collapsed="false">
      <c r="A5" s="31" t="s">
        <v>246</v>
      </c>
      <c r="B5" s="32" t="s">
        <v>156</v>
      </c>
      <c r="C5" s="77" t="s">
        <v>496</v>
      </c>
      <c r="D5" s="31" t="s">
        <v>457</v>
      </c>
      <c r="E5" s="31" t="s">
        <v>497</v>
      </c>
      <c r="F5" s="43" t="s">
        <v>235</v>
      </c>
      <c r="G5" s="31" t="s">
        <v>498</v>
      </c>
      <c r="H5" s="32" t="s">
        <v>500</v>
      </c>
    </row>
    <row r="6" customFormat="false" ht="19.5" hidden="false" customHeight="true" outlineLevel="0" collapsed="false">
      <c r="A6" s="34" t="s">
        <v>255</v>
      </c>
      <c r="B6" s="35" t="s">
        <v>81</v>
      </c>
      <c r="C6" s="78" t="s">
        <v>501</v>
      </c>
      <c r="D6" s="34" t="s">
        <v>457</v>
      </c>
      <c r="E6" s="34" t="s">
        <v>497</v>
      </c>
      <c r="F6" s="43" t="s">
        <v>235</v>
      </c>
      <c r="G6" s="34" t="s">
        <v>498</v>
      </c>
      <c r="H6" s="35" t="s">
        <v>502</v>
      </c>
    </row>
    <row r="7" customFormat="false" ht="19.5" hidden="false" customHeight="true" outlineLevel="0" collapsed="false">
      <c r="A7" s="31" t="s">
        <v>263</v>
      </c>
      <c r="B7" s="32" t="s">
        <v>81</v>
      </c>
      <c r="C7" s="77" t="s">
        <v>501</v>
      </c>
      <c r="D7" s="31" t="s">
        <v>457</v>
      </c>
      <c r="E7" s="31" t="s">
        <v>497</v>
      </c>
      <c r="F7" s="43" t="s">
        <v>235</v>
      </c>
      <c r="G7" s="31" t="s">
        <v>498</v>
      </c>
      <c r="H7" s="32" t="s">
        <v>503</v>
      </c>
    </row>
    <row r="8" customFormat="false" ht="19.5" hidden="false" customHeight="true" outlineLevel="0" collapsed="false">
      <c r="A8" s="34" t="s">
        <v>271</v>
      </c>
      <c r="B8" s="35" t="s">
        <v>81</v>
      </c>
      <c r="C8" s="78" t="s">
        <v>501</v>
      </c>
      <c r="D8" s="34" t="s">
        <v>457</v>
      </c>
      <c r="E8" s="34" t="s">
        <v>497</v>
      </c>
      <c r="F8" s="43" t="s">
        <v>235</v>
      </c>
      <c r="G8" s="34" t="s">
        <v>498</v>
      </c>
      <c r="H8" s="35" t="s">
        <v>504</v>
      </c>
    </row>
    <row r="9" customFormat="false" ht="19.5" hidden="false" customHeight="true" outlineLevel="0" collapsed="false">
      <c r="A9" s="31" t="s">
        <v>278</v>
      </c>
      <c r="B9" s="32" t="s">
        <v>179</v>
      </c>
      <c r="C9" s="77" t="s">
        <v>505</v>
      </c>
      <c r="D9" s="31" t="s">
        <v>458</v>
      </c>
      <c r="E9" s="31" t="s">
        <v>497</v>
      </c>
      <c r="F9" s="43" t="s">
        <v>235</v>
      </c>
      <c r="G9" s="31" t="s">
        <v>498</v>
      </c>
      <c r="H9" s="32" t="s">
        <v>284</v>
      </c>
    </row>
    <row r="10" customFormat="false" ht="19.5" hidden="false" customHeight="true" outlineLevel="0" collapsed="false">
      <c r="A10" s="34" t="s">
        <v>286</v>
      </c>
      <c r="B10" s="35" t="s">
        <v>179</v>
      </c>
      <c r="C10" s="78" t="s">
        <v>505</v>
      </c>
      <c r="D10" s="34" t="s">
        <v>458</v>
      </c>
      <c r="E10" s="34" t="s">
        <v>497</v>
      </c>
      <c r="F10" s="43" t="s">
        <v>235</v>
      </c>
      <c r="G10" s="34" t="s">
        <v>498</v>
      </c>
      <c r="H10" s="35" t="s">
        <v>506</v>
      </c>
    </row>
    <row r="11" customFormat="false" ht="19.5" hidden="false" customHeight="true" outlineLevel="0" collapsed="false">
      <c r="A11" s="31" t="s">
        <v>293</v>
      </c>
      <c r="B11" s="32" t="s">
        <v>88</v>
      </c>
      <c r="C11" s="77" t="s">
        <v>496</v>
      </c>
      <c r="D11" s="31" t="s">
        <v>458</v>
      </c>
      <c r="E11" s="31" t="s">
        <v>497</v>
      </c>
      <c r="F11" s="43" t="s">
        <v>235</v>
      </c>
      <c r="G11" s="31" t="s">
        <v>498</v>
      </c>
      <c r="H11" s="32" t="s">
        <v>507</v>
      </c>
    </row>
    <row r="12" customFormat="false" ht="19.5" hidden="false" customHeight="true" outlineLevel="0" collapsed="false">
      <c r="A12" s="34" t="s">
        <v>301</v>
      </c>
      <c r="B12" s="35" t="s">
        <v>93</v>
      </c>
      <c r="C12" s="78" t="s">
        <v>496</v>
      </c>
      <c r="D12" s="34" t="s">
        <v>458</v>
      </c>
      <c r="E12" s="34" t="s">
        <v>497</v>
      </c>
      <c r="F12" s="43" t="s">
        <v>235</v>
      </c>
      <c r="G12" s="34" t="s">
        <v>498</v>
      </c>
      <c r="H12" s="35" t="s">
        <v>508</v>
      </c>
    </row>
    <row r="13" customFormat="false" ht="19.5" hidden="false" customHeight="true" outlineLevel="0" collapsed="false">
      <c r="A13" s="31" t="s">
        <v>308</v>
      </c>
      <c r="B13" s="32" t="s">
        <v>96</v>
      </c>
      <c r="C13" s="77" t="s">
        <v>501</v>
      </c>
      <c r="D13" s="31" t="s">
        <v>458</v>
      </c>
      <c r="E13" s="31" t="s">
        <v>497</v>
      </c>
      <c r="F13" s="43" t="s">
        <v>235</v>
      </c>
      <c r="G13" s="31" t="s">
        <v>498</v>
      </c>
      <c r="H13" s="32" t="s">
        <v>509</v>
      </c>
    </row>
    <row r="14" customFormat="false" ht="19.5" hidden="false" customHeight="true" outlineLevel="0" collapsed="false">
      <c r="A14" s="34" t="s">
        <v>316</v>
      </c>
      <c r="B14" s="35" t="s">
        <v>96</v>
      </c>
      <c r="C14" s="78" t="s">
        <v>501</v>
      </c>
      <c r="D14" s="34" t="s">
        <v>458</v>
      </c>
      <c r="E14" s="34" t="s">
        <v>497</v>
      </c>
      <c r="F14" s="43" t="s">
        <v>235</v>
      </c>
      <c r="G14" s="34" t="s">
        <v>498</v>
      </c>
      <c r="H14" s="35" t="s">
        <v>510</v>
      </c>
    </row>
    <row r="15" customFormat="false" ht="19.5" hidden="false" customHeight="true" outlineLevel="0" collapsed="false">
      <c r="A15" s="31" t="s">
        <v>321</v>
      </c>
      <c r="B15" s="32" t="s">
        <v>99</v>
      </c>
      <c r="C15" s="77" t="s">
        <v>505</v>
      </c>
      <c r="D15" s="31" t="s">
        <v>458</v>
      </c>
      <c r="E15" s="31" t="s">
        <v>497</v>
      </c>
      <c r="F15" s="43" t="s">
        <v>235</v>
      </c>
      <c r="G15" s="31" t="s">
        <v>498</v>
      </c>
      <c r="H15" s="32" t="s">
        <v>327</v>
      </c>
    </row>
    <row r="16" customFormat="false" ht="19.5" hidden="false" customHeight="true" outlineLevel="0" collapsed="false">
      <c r="A16" s="34" t="s">
        <v>329</v>
      </c>
      <c r="B16" s="35" t="s">
        <v>196</v>
      </c>
      <c r="C16" s="78" t="s">
        <v>505</v>
      </c>
      <c r="D16" s="34" t="s">
        <v>458</v>
      </c>
      <c r="E16" s="34" t="s">
        <v>497</v>
      </c>
      <c r="F16" s="43" t="s">
        <v>235</v>
      </c>
      <c r="G16" s="34" t="s">
        <v>498</v>
      </c>
      <c r="H16" s="35" t="s">
        <v>335</v>
      </c>
    </row>
    <row r="17" customFormat="false" ht="19.5" hidden="false" customHeight="true" outlineLevel="0" collapsed="false">
      <c r="A17" s="31" t="s">
        <v>337</v>
      </c>
      <c r="B17" s="32" t="s">
        <v>204</v>
      </c>
      <c r="C17" s="77" t="s">
        <v>496</v>
      </c>
      <c r="D17" s="31" t="s">
        <v>458</v>
      </c>
      <c r="E17" s="31" t="s">
        <v>497</v>
      </c>
      <c r="F17" s="43" t="s">
        <v>235</v>
      </c>
      <c r="G17" s="31" t="s">
        <v>498</v>
      </c>
      <c r="H17" s="32" t="s">
        <v>343</v>
      </c>
    </row>
    <row r="18" customFormat="false" ht="19.5" hidden="false" customHeight="true" outlineLevel="0" collapsed="false">
      <c r="A18" s="34" t="s">
        <v>345</v>
      </c>
      <c r="B18" s="35" t="s">
        <v>204</v>
      </c>
      <c r="C18" s="78" t="s">
        <v>496</v>
      </c>
      <c r="D18" s="34" t="s">
        <v>458</v>
      </c>
      <c r="E18" s="34" t="s">
        <v>497</v>
      </c>
      <c r="F18" s="43" t="s">
        <v>235</v>
      </c>
      <c r="G18" s="34" t="s">
        <v>498</v>
      </c>
      <c r="H18" s="35" t="s">
        <v>350</v>
      </c>
    </row>
    <row r="19" customFormat="false" ht="19.5" hidden="false" customHeight="true" outlineLevel="0" collapsed="false">
      <c r="A19" s="31" t="s">
        <v>352</v>
      </c>
      <c r="B19" s="32" t="s">
        <v>201</v>
      </c>
      <c r="C19" s="77" t="s">
        <v>501</v>
      </c>
      <c r="D19" s="31" t="s">
        <v>458</v>
      </c>
      <c r="E19" s="31" t="s">
        <v>497</v>
      </c>
      <c r="F19" s="43" t="s">
        <v>235</v>
      </c>
      <c r="G19" s="31" t="s">
        <v>498</v>
      </c>
      <c r="H19" s="32" t="s">
        <v>511</v>
      </c>
    </row>
    <row r="20" customFormat="false" ht="19.5" hidden="false" customHeight="true" outlineLevel="0" collapsed="false">
      <c r="A20" s="34" t="s">
        <v>359</v>
      </c>
      <c r="B20" s="35" t="s">
        <v>117</v>
      </c>
      <c r="C20" s="78" t="s">
        <v>501</v>
      </c>
      <c r="D20" s="34" t="s">
        <v>458</v>
      </c>
      <c r="E20" s="34" t="s">
        <v>497</v>
      </c>
      <c r="F20" s="43" t="s">
        <v>235</v>
      </c>
      <c r="G20" s="34" t="s">
        <v>498</v>
      </c>
      <c r="H20" s="35" t="s">
        <v>512</v>
      </c>
    </row>
    <row r="21" customFormat="false" ht="19.5" hidden="false" customHeight="true" outlineLevel="0" collapsed="false">
      <c r="A21" s="31" t="s">
        <v>367</v>
      </c>
      <c r="B21" s="32" t="s">
        <v>211</v>
      </c>
      <c r="C21" s="77" t="s">
        <v>505</v>
      </c>
      <c r="D21" s="31" t="s">
        <v>458</v>
      </c>
      <c r="E21" s="31" t="s">
        <v>497</v>
      </c>
      <c r="F21" s="43" t="s">
        <v>235</v>
      </c>
      <c r="G21" s="31" t="s">
        <v>498</v>
      </c>
      <c r="H21" s="32" t="s">
        <v>513</v>
      </c>
    </row>
    <row r="22" customFormat="false" ht="19.5" hidden="false" customHeight="true" outlineLevel="0" collapsed="false">
      <c r="A22" s="34" t="s">
        <v>374</v>
      </c>
      <c r="B22" s="35" t="s">
        <v>123</v>
      </c>
      <c r="C22" s="78" t="s">
        <v>496</v>
      </c>
      <c r="D22" s="34" t="s">
        <v>458</v>
      </c>
      <c r="E22" s="34" t="s">
        <v>497</v>
      </c>
      <c r="F22" s="43" t="s">
        <v>235</v>
      </c>
      <c r="G22" s="34" t="s">
        <v>498</v>
      </c>
      <c r="H22" s="35" t="s">
        <v>514</v>
      </c>
    </row>
    <row r="23" customFormat="false" ht="19.5" hidden="false" customHeight="true" outlineLevel="0" collapsed="false">
      <c r="A23" s="31" t="s">
        <v>382</v>
      </c>
      <c r="B23" s="32" t="s">
        <v>196</v>
      </c>
      <c r="C23" s="77" t="s">
        <v>501</v>
      </c>
      <c r="D23" s="31" t="s">
        <v>458</v>
      </c>
      <c r="E23" s="31" t="s">
        <v>497</v>
      </c>
      <c r="F23" s="43" t="s">
        <v>235</v>
      </c>
      <c r="G23" s="31" t="s">
        <v>498</v>
      </c>
      <c r="H23" s="32" t="s">
        <v>515</v>
      </c>
    </row>
    <row r="24" customFormat="false" ht="19.5" hidden="false" customHeight="true" outlineLevel="0" collapsed="false">
      <c r="A24" s="34" t="s">
        <v>390</v>
      </c>
      <c r="B24" s="35" t="s">
        <v>156</v>
      </c>
      <c r="C24" s="78" t="s">
        <v>496</v>
      </c>
      <c r="D24" s="34" t="s">
        <v>458</v>
      </c>
      <c r="E24" s="34" t="s">
        <v>497</v>
      </c>
      <c r="F24" s="43" t="s">
        <v>235</v>
      </c>
      <c r="G24" s="34" t="s">
        <v>498</v>
      </c>
      <c r="H24" s="35" t="s">
        <v>516</v>
      </c>
    </row>
    <row r="25" customFormat="false" ht="19.5" hidden="false" customHeight="true" outlineLevel="0" collapsed="false">
      <c r="A25" s="31" t="s">
        <v>398</v>
      </c>
      <c r="B25" s="32" t="s">
        <v>81</v>
      </c>
      <c r="C25" s="77" t="s">
        <v>501</v>
      </c>
      <c r="D25" s="31" t="s">
        <v>458</v>
      </c>
      <c r="E25" s="31" t="s">
        <v>497</v>
      </c>
      <c r="F25" s="43" t="s">
        <v>235</v>
      </c>
      <c r="G25" s="31" t="s">
        <v>498</v>
      </c>
      <c r="H25" s="32" t="s">
        <v>517</v>
      </c>
    </row>
    <row r="26" customFormat="false" ht="19.5" hidden="false" customHeight="true" outlineLevel="0" collapsed="false">
      <c r="A26" s="34" t="s">
        <v>406</v>
      </c>
      <c r="B26" s="35" t="s">
        <v>110</v>
      </c>
      <c r="C26" s="78" t="s">
        <v>505</v>
      </c>
      <c r="D26" s="34" t="s">
        <v>458</v>
      </c>
      <c r="E26" s="34" t="s">
        <v>497</v>
      </c>
      <c r="F26" s="43" t="s">
        <v>235</v>
      </c>
      <c r="G26" s="34" t="s">
        <v>498</v>
      </c>
      <c r="H26" s="35" t="s">
        <v>412</v>
      </c>
    </row>
    <row r="27" customFormat="false" ht="19.5" hidden="false" customHeight="true" outlineLevel="0" collapsed="false">
      <c r="A27" s="31" t="s">
        <v>414</v>
      </c>
      <c r="B27" s="32" t="s">
        <v>127</v>
      </c>
      <c r="C27" s="77" t="s">
        <v>505</v>
      </c>
      <c r="D27" s="31" t="s">
        <v>458</v>
      </c>
      <c r="E27" s="31" t="s">
        <v>497</v>
      </c>
      <c r="F27" s="43" t="s">
        <v>235</v>
      </c>
      <c r="G27" s="31" t="s">
        <v>498</v>
      </c>
      <c r="H27" s="32" t="s">
        <v>518</v>
      </c>
    </row>
    <row r="28" customFormat="false" ht="25.5" hidden="false" customHeight="true" outlineLevel="0" collapsed="false">
      <c r="A28" s="79" t="s">
        <v>519</v>
      </c>
      <c r="B28" s="79"/>
      <c r="C28" s="79"/>
      <c r="D28" s="79"/>
      <c r="E28" s="79"/>
      <c r="F28" s="80" t="n">
        <f aca="false">COUNTIF(F3:F27,"Pass")</f>
        <v>25</v>
      </c>
      <c r="G28" s="81" t="str">
        <f aca="false">F28&amp;"/25 Passed — "&amp;TEXT(F28/25,"0%")&amp;" Pass Rate"</f>
        <v>25/25 Passed — 100% Pass Rate</v>
      </c>
      <c r="H28" s="81"/>
    </row>
  </sheetData>
  <mergeCells count="3">
    <mergeCell ref="A1:H1"/>
    <mergeCell ref="A28:E28"/>
    <mergeCell ref="G28:H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30"/>
    <col collapsed="false" customWidth="true" hidden="false" outlineLevel="0" max="4" min="4" style="0" width="36"/>
    <col collapsed="false" customWidth="true" hidden="false" outlineLevel="0" max="6" min="5" style="0" width="28"/>
    <col collapsed="false" customWidth="true" hidden="false" outlineLevel="0" max="8" min="7" style="0" width="12"/>
    <col collapsed="false" customWidth="true" hidden="false" outlineLevel="0" max="9" min="9" style="0" width="14"/>
    <col collapsed="false" customWidth="true" hidden="false" outlineLevel="0" max="10" min="10" style="0" width="16"/>
  </cols>
  <sheetData>
    <row r="1" customFormat="false" ht="31.5" hidden="false" customHeight="true" outlineLevel="0" collapsed="false">
      <c r="A1" s="26" t="s">
        <v>520</v>
      </c>
      <c r="B1" s="26"/>
      <c r="C1" s="26"/>
      <c r="D1" s="26"/>
      <c r="E1" s="26"/>
      <c r="F1" s="26"/>
      <c r="G1" s="26"/>
      <c r="H1" s="26"/>
      <c r="I1" s="26"/>
      <c r="J1" s="26"/>
    </row>
    <row r="2" customFormat="false" ht="24" hidden="false" customHeight="true" outlineLevel="0" collapsed="false">
      <c r="A2" s="82" t="s">
        <v>521</v>
      </c>
      <c r="B2" s="82" t="s">
        <v>142</v>
      </c>
      <c r="C2" s="82" t="s">
        <v>522</v>
      </c>
      <c r="D2" s="82" t="s">
        <v>523</v>
      </c>
      <c r="E2" s="82" t="s">
        <v>524</v>
      </c>
      <c r="F2" s="82" t="s">
        <v>525</v>
      </c>
      <c r="G2" s="82" t="s">
        <v>225</v>
      </c>
      <c r="H2" s="82" t="s">
        <v>75</v>
      </c>
      <c r="I2" s="82" t="s">
        <v>147</v>
      </c>
      <c r="J2" s="82" t="s">
        <v>526</v>
      </c>
    </row>
    <row r="3" customFormat="false" ht="51.75" hidden="false" customHeight="true" outlineLevel="0" collapsed="false">
      <c r="A3" s="58" t="s">
        <v>527</v>
      </c>
      <c r="B3" s="59" t="s">
        <v>156</v>
      </c>
      <c r="C3" s="59" t="s">
        <v>528</v>
      </c>
      <c r="D3" s="59" t="s">
        <v>529</v>
      </c>
      <c r="E3" s="59" t="s">
        <v>530</v>
      </c>
      <c r="F3" s="59" t="s">
        <v>531</v>
      </c>
      <c r="G3" s="83" t="s">
        <v>80</v>
      </c>
      <c r="H3" s="62" t="s">
        <v>92</v>
      </c>
      <c r="I3" s="60" t="s">
        <v>532</v>
      </c>
      <c r="J3" s="59" t="s">
        <v>533</v>
      </c>
    </row>
    <row r="4" customFormat="false" ht="51.75" hidden="false" customHeight="true" outlineLevel="0" collapsed="false">
      <c r="A4" s="63" t="s">
        <v>534</v>
      </c>
      <c r="B4" s="64" t="s">
        <v>179</v>
      </c>
      <c r="C4" s="64" t="s">
        <v>535</v>
      </c>
      <c r="D4" s="64" t="s">
        <v>536</v>
      </c>
      <c r="E4" s="64" t="s">
        <v>537</v>
      </c>
      <c r="F4" s="64" t="s">
        <v>538</v>
      </c>
      <c r="G4" s="83" t="s">
        <v>80</v>
      </c>
      <c r="H4" s="65" t="s">
        <v>92</v>
      </c>
      <c r="I4" s="60" t="s">
        <v>532</v>
      </c>
      <c r="J4" s="64" t="s">
        <v>539</v>
      </c>
    </row>
    <row r="5" customFormat="false" ht="51.75" hidden="false" customHeight="true" outlineLevel="0" collapsed="false">
      <c r="A5" s="58" t="s">
        <v>540</v>
      </c>
      <c r="B5" s="59" t="s">
        <v>81</v>
      </c>
      <c r="C5" s="59" t="s">
        <v>541</v>
      </c>
      <c r="D5" s="59" t="s">
        <v>542</v>
      </c>
      <c r="E5" s="59" t="s">
        <v>543</v>
      </c>
      <c r="F5" s="59" t="s">
        <v>544</v>
      </c>
      <c r="G5" s="84" t="s">
        <v>545</v>
      </c>
      <c r="H5" s="62" t="s">
        <v>106</v>
      </c>
      <c r="I5" s="60" t="s">
        <v>532</v>
      </c>
      <c r="J5" s="59" t="s">
        <v>533</v>
      </c>
    </row>
    <row r="6" customFormat="false" ht="51.75" hidden="false" customHeight="true" outlineLevel="0" collapsed="false">
      <c r="A6" s="63" t="s">
        <v>546</v>
      </c>
      <c r="B6" s="64" t="s">
        <v>93</v>
      </c>
      <c r="C6" s="64" t="s">
        <v>547</v>
      </c>
      <c r="D6" s="64" t="s">
        <v>548</v>
      </c>
      <c r="E6" s="64" t="s">
        <v>549</v>
      </c>
      <c r="F6" s="64" t="s">
        <v>550</v>
      </c>
      <c r="G6" s="66" t="s">
        <v>551</v>
      </c>
      <c r="H6" s="65" t="s">
        <v>113</v>
      </c>
      <c r="I6" s="60" t="s">
        <v>532</v>
      </c>
      <c r="J6" s="64" t="s">
        <v>552</v>
      </c>
    </row>
    <row r="7" customFormat="false" ht="51.75" hidden="false" customHeight="true" outlineLevel="0" collapsed="false">
      <c r="A7" s="58" t="s">
        <v>553</v>
      </c>
      <c r="B7" s="59" t="s">
        <v>117</v>
      </c>
      <c r="C7" s="59" t="s">
        <v>554</v>
      </c>
      <c r="D7" s="59" t="s">
        <v>555</v>
      </c>
      <c r="E7" s="59" t="s">
        <v>556</v>
      </c>
      <c r="F7" s="59" t="s">
        <v>557</v>
      </c>
      <c r="G7" s="84" t="s">
        <v>545</v>
      </c>
      <c r="H7" s="62" t="s">
        <v>92</v>
      </c>
      <c r="I7" s="60" t="s">
        <v>532</v>
      </c>
      <c r="J7" s="59" t="s">
        <v>558</v>
      </c>
    </row>
    <row r="8" customFormat="false" ht="51.75" hidden="false" customHeight="true" outlineLevel="0" collapsed="false">
      <c r="A8" s="63" t="s">
        <v>559</v>
      </c>
      <c r="B8" s="64" t="s">
        <v>99</v>
      </c>
      <c r="C8" s="64" t="s">
        <v>560</v>
      </c>
      <c r="D8" s="64" t="s">
        <v>561</v>
      </c>
      <c r="E8" s="64" t="s">
        <v>562</v>
      </c>
      <c r="F8" s="64" t="s">
        <v>563</v>
      </c>
      <c r="G8" s="84" t="s">
        <v>545</v>
      </c>
      <c r="H8" s="65" t="s">
        <v>92</v>
      </c>
      <c r="I8" s="60" t="s">
        <v>532</v>
      </c>
      <c r="J8" s="64" t="s">
        <v>564</v>
      </c>
    </row>
    <row r="9" customFormat="false" ht="51.75" hidden="false" customHeight="true" outlineLevel="0" collapsed="false">
      <c r="A9" s="58" t="s">
        <v>565</v>
      </c>
      <c r="B9" s="59" t="s">
        <v>201</v>
      </c>
      <c r="C9" s="59" t="s">
        <v>566</v>
      </c>
      <c r="D9" s="59" t="s">
        <v>567</v>
      </c>
      <c r="E9" s="59" t="s">
        <v>568</v>
      </c>
      <c r="F9" s="59" t="s">
        <v>569</v>
      </c>
      <c r="G9" s="83" t="s">
        <v>80</v>
      </c>
      <c r="H9" s="62" t="s">
        <v>92</v>
      </c>
      <c r="I9" s="60" t="s">
        <v>532</v>
      </c>
      <c r="J9" s="59" t="s">
        <v>570</v>
      </c>
    </row>
    <row r="10" customFormat="false" ht="51.75" hidden="false" customHeight="true" outlineLevel="0" collapsed="false">
      <c r="A10" s="63" t="s">
        <v>571</v>
      </c>
      <c r="B10" s="64" t="s">
        <v>204</v>
      </c>
      <c r="C10" s="64" t="s">
        <v>572</v>
      </c>
      <c r="D10" s="64" t="s">
        <v>573</v>
      </c>
      <c r="E10" s="64" t="s">
        <v>574</v>
      </c>
      <c r="F10" s="64" t="s">
        <v>575</v>
      </c>
      <c r="G10" s="66" t="s">
        <v>551</v>
      </c>
      <c r="H10" s="65" t="s">
        <v>106</v>
      </c>
      <c r="I10" s="60" t="s">
        <v>532</v>
      </c>
      <c r="J10" s="64" t="s">
        <v>552</v>
      </c>
    </row>
    <row r="11" customFormat="false" ht="51.75" hidden="false" customHeight="true" outlineLevel="0" collapsed="false">
      <c r="A11" s="58" t="s">
        <v>576</v>
      </c>
      <c r="B11" s="59" t="s">
        <v>196</v>
      </c>
      <c r="C11" s="59" t="s">
        <v>577</v>
      </c>
      <c r="D11" s="59" t="s">
        <v>578</v>
      </c>
      <c r="E11" s="59" t="s">
        <v>579</v>
      </c>
      <c r="F11" s="59" t="s">
        <v>580</v>
      </c>
      <c r="G11" s="84" t="s">
        <v>545</v>
      </c>
      <c r="H11" s="62" t="s">
        <v>92</v>
      </c>
      <c r="I11" s="60" t="s">
        <v>532</v>
      </c>
      <c r="J11" s="59" t="s">
        <v>533</v>
      </c>
    </row>
    <row r="12" customFormat="false" ht="51.75" hidden="false" customHeight="true" outlineLevel="0" collapsed="false">
      <c r="A12" s="63" t="s">
        <v>581</v>
      </c>
      <c r="B12" s="64" t="s">
        <v>211</v>
      </c>
      <c r="C12" s="64" t="s">
        <v>582</v>
      </c>
      <c r="D12" s="64" t="s">
        <v>583</v>
      </c>
      <c r="E12" s="64" t="s">
        <v>584</v>
      </c>
      <c r="F12" s="64" t="s">
        <v>585</v>
      </c>
      <c r="G12" s="83" t="s">
        <v>80</v>
      </c>
      <c r="H12" s="65" t="s">
        <v>92</v>
      </c>
      <c r="I12" s="60" t="s">
        <v>532</v>
      </c>
      <c r="J12" s="64" t="s">
        <v>586</v>
      </c>
    </row>
    <row r="13" customFormat="false" ht="51.75" hidden="false" customHeight="true" outlineLevel="0" collapsed="false">
      <c r="A13" s="58" t="s">
        <v>587</v>
      </c>
      <c r="B13" s="59" t="s">
        <v>96</v>
      </c>
      <c r="C13" s="59" t="s">
        <v>588</v>
      </c>
      <c r="D13" s="59" t="s">
        <v>589</v>
      </c>
      <c r="E13" s="59" t="s">
        <v>590</v>
      </c>
      <c r="F13" s="59" t="s">
        <v>591</v>
      </c>
      <c r="G13" s="84" t="s">
        <v>545</v>
      </c>
      <c r="H13" s="62" t="s">
        <v>92</v>
      </c>
      <c r="I13" s="60" t="s">
        <v>532</v>
      </c>
      <c r="J13" s="59" t="s">
        <v>586</v>
      </c>
    </row>
    <row r="14" customFormat="false" ht="51.75" hidden="false" customHeight="true" outlineLevel="0" collapsed="false">
      <c r="A14" s="63" t="s">
        <v>592</v>
      </c>
      <c r="B14" s="64" t="s">
        <v>81</v>
      </c>
      <c r="C14" s="64" t="s">
        <v>593</v>
      </c>
      <c r="D14" s="64" t="s">
        <v>594</v>
      </c>
      <c r="E14" s="64" t="s">
        <v>595</v>
      </c>
      <c r="F14" s="64" t="s">
        <v>596</v>
      </c>
      <c r="G14" s="83" t="s">
        <v>80</v>
      </c>
      <c r="H14" s="65" t="s">
        <v>92</v>
      </c>
      <c r="I14" s="60" t="s">
        <v>532</v>
      </c>
      <c r="J14" s="64" t="s">
        <v>539</v>
      </c>
    </row>
  </sheetData>
  <autoFilter ref="A2:J14"/>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28"/>
    <col collapsed="false" customWidth="true" hidden="false" outlineLevel="0" max="4" min="4" style="0" width="18"/>
    <col collapsed="false" customWidth="true" hidden="false" outlineLevel="0" max="6" min="5" style="0" width="14"/>
    <col collapsed="false" customWidth="true" hidden="false" outlineLevel="0" max="7" min="7" style="0" width="28"/>
  </cols>
  <sheetData>
    <row r="1" customFormat="false" ht="31.5" hidden="false" customHeight="true" outlineLevel="0" collapsed="false">
      <c r="A1" s="26" t="s">
        <v>597</v>
      </c>
      <c r="B1" s="26"/>
      <c r="C1" s="26"/>
      <c r="D1" s="26"/>
      <c r="E1" s="26"/>
      <c r="F1" s="26"/>
      <c r="G1" s="26"/>
    </row>
    <row r="3" customFormat="false" ht="25.5" hidden="false" customHeight="true" outlineLevel="0" collapsed="false">
      <c r="A3" s="40" t="s">
        <v>598</v>
      </c>
      <c r="B3" s="40"/>
      <c r="C3" s="40"/>
      <c r="D3" s="40"/>
      <c r="E3" s="40"/>
      <c r="F3" s="40"/>
      <c r="G3" s="40"/>
    </row>
    <row r="4" customFormat="false" ht="21.75" hidden="false" customHeight="true" outlineLevel="0" collapsed="false">
      <c r="A4" s="68" t="s">
        <v>599</v>
      </c>
      <c r="B4" s="68" t="s">
        <v>600</v>
      </c>
      <c r="C4" s="68" t="s">
        <v>601</v>
      </c>
      <c r="D4" s="68" t="s">
        <v>602</v>
      </c>
      <c r="E4" s="68" t="s">
        <v>491</v>
      </c>
      <c r="F4" s="68" t="s">
        <v>20</v>
      </c>
    </row>
    <row r="5" customFormat="false" ht="19.5" hidden="false" customHeight="true" outlineLevel="0" collapsed="false">
      <c r="A5" s="85" t="s">
        <v>603</v>
      </c>
      <c r="B5" s="86" t="s">
        <v>604</v>
      </c>
      <c r="C5" s="86" t="s">
        <v>605</v>
      </c>
      <c r="D5" s="87" t="s">
        <v>235</v>
      </c>
      <c r="E5" s="85" t="s">
        <v>606</v>
      </c>
      <c r="F5" s="85" t="s">
        <v>458</v>
      </c>
    </row>
    <row r="6" customFormat="false" ht="19.5" hidden="false" customHeight="true" outlineLevel="0" collapsed="false">
      <c r="A6" s="88" t="s">
        <v>607</v>
      </c>
      <c r="B6" s="89" t="s">
        <v>608</v>
      </c>
      <c r="C6" s="89" t="s">
        <v>609</v>
      </c>
      <c r="D6" s="87" t="s">
        <v>235</v>
      </c>
      <c r="E6" s="88" t="s">
        <v>606</v>
      </c>
      <c r="F6" s="88" t="s">
        <v>458</v>
      </c>
    </row>
    <row r="7" customFormat="false" ht="19.5" hidden="false" customHeight="true" outlineLevel="0" collapsed="false">
      <c r="A7" s="85" t="s">
        <v>610</v>
      </c>
      <c r="B7" s="86" t="s">
        <v>81</v>
      </c>
      <c r="C7" s="86" t="s">
        <v>611</v>
      </c>
      <c r="D7" s="87" t="s">
        <v>235</v>
      </c>
      <c r="E7" s="85" t="s">
        <v>612</v>
      </c>
      <c r="F7" s="85" t="s">
        <v>458</v>
      </c>
    </row>
    <row r="8" customFormat="false" ht="19.5" hidden="false" customHeight="true" outlineLevel="0" collapsed="false">
      <c r="A8" s="88" t="s">
        <v>613</v>
      </c>
      <c r="B8" s="89" t="s">
        <v>614</v>
      </c>
      <c r="C8" s="89" t="s">
        <v>615</v>
      </c>
      <c r="D8" s="87" t="s">
        <v>235</v>
      </c>
      <c r="E8" s="88" t="s">
        <v>612</v>
      </c>
      <c r="F8" s="88" t="s">
        <v>458</v>
      </c>
    </row>
    <row r="9" customFormat="false" ht="19.5" hidden="false" customHeight="true" outlineLevel="0" collapsed="false">
      <c r="A9" s="85" t="s">
        <v>616</v>
      </c>
      <c r="B9" s="86" t="s">
        <v>617</v>
      </c>
      <c r="C9" s="86" t="s">
        <v>618</v>
      </c>
      <c r="D9" s="87" t="s">
        <v>235</v>
      </c>
      <c r="E9" s="85" t="s">
        <v>619</v>
      </c>
      <c r="F9" s="85" t="s">
        <v>458</v>
      </c>
    </row>
    <row r="10" customFormat="false" ht="19.5" hidden="false" customHeight="true" outlineLevel="0" collapsed="false">
      <c r="A10" s="88" t="s">
        <v>620</v>
      </c>
      <c r="B10" s="89" t="s">
        <v>117</v>
      </c>
      <c r="C10" s="89" t="s">
        <v>621</v>
      </c>
      <c r="D10" s="87" t="s">
        <v>235</v>
      </c>
      <c r="E10" s="88" t="s">
        <v>619</v>
      </c>
      <c r="F10" s="88" t="s">
        <v>458</v>
      </c>
    </row>
    <row r="12" customFormat="false" ht="25.5" hidden="false" customHeight="true" outlineLevel="0" collapsed="false">
      <c r="A12" s="90" t="s">
        <v>622</v>
      </c>
      <c r="B12" s="90"/>
      <c r="C12" s="90"/>
      <c r="D12" s="90"/>
      <c r="E12" s="90"/>
      <c r="F12" s="90"/>
      <c r="G12" s="90"/>
    </row>
    <row r="13" customFormat="false" ht="21.75" hidden="false" customHeight="true" outlineLevel="0" collapsed="false">
      <c r="A13" s="91" t="s">
        <v>623</v>
      </c>
      <c r="B13" s="91" t="s">
        <v>521</v>
      </c>
      <c r="C13" s="91" t="s">
        <v>142</v>
      </c>
      <c r="D13" s="91" t="s">
        <v>624</v>
      </c>
      <c r="E13" s="91" t="s">
        <v>625</v>
      </c>
      <c r="F13" s="91" t="s">
        <v>491</v>
      </c>
      <c r="G13" s="91" t="s">
        <v>20</v>
      </c>
    </row>
    <row r="14" customFormat="false" ht="19.5" hidden="false" customHeight="true" outlineLevel="0" collapsed="false">
      <c r="A14" s="85" t="s">
        <v>626</v>
      </c>
      <c r="B14" s="85" t="s">
        <v>527</v>
      </c>
      <c r="C14" s="86" t="s">
        <v>156</v>
      </c>
      <c r="D14" s="85" t="s">
        <v>627</v>
      </c>
      <c r="E14" s="87" t="s">
        <v>235</v>
      </c>
      <c r="F14" s="85" t="s">
        <v>606</v>
      </c>
      <c r="G14" s="85" t="s">
        <v>458</v>
      </c>
    </row>
    <row r="15" customFormat="false" ht="19.5" hidden="false" customHeight="true" outlineLevel="0" collapsed="false">
      <c r="A15" s="88" t="s">
        <v>628</v>
      </c>
      <c r="B15" s="88" t="s">
        <v>534</v>
      </c>
      <c r="C15" s="89" t="s">
        <v>179</v>
      </c>
      <c r="D15" s="88" t="s">
        <v>627</v>
      </c>
      <c r="E15" s="87" t="s">
        <v>235</v>
      </c>
      <c r="F15" s="88" t="s">
        <v>619</v>
      </c>
      <c r="G15" s="88" t="s">
        <v>458</v>
      </c>
    </row>
    <row r="16" customFormat="false" ht="19.5" hidden="false" customHeight="true" outlineLevel="0" collapsed="false">
      <c r="A16" s="85" t="s">
        <v>629</v>
      </c>
      <c r="B16" s="85" t="s">
        <v>540</v>
      </c>
      <c r="C16" s="86" t="s">
        <v>81</v>
      </c>
      <c r="D16" s="85" t="s">
        <v>627</v>
      </c>
      <c r="E16" s="87" t="s">
        <v>235</v>
      </c>
      <c r="F16" s="85" t="s">
        <v>612</v>
      </c>
      <c r="G16" s="85" t="s">
        <v>458</v>
      </c>
    </row>
    <row r="17" customFormat="false" ht="19.5" hidden="false" customHeight="true" outlineLevel="0" collapsed="false">
      <c r="A17" s="88" t="s">
        <v>630</v>
      </c>
      <c r="B17" s="88" t="s">
        <v>559</v>
      </c>
      <c r="C17" s="89" t="s">
        <v>99</v>
      </c>
      <c r="D17" s="88" t="s">
        <v>627</v>
      </c>
      <c r="E17" s="87" t="s">
        <v>235</v>
      </c>
      <c r="F17" s="88" t="s">
        <v>619</v>
      </c>
      <c r="G17" s="88" t="s">
        <v>458</v>
      </c>
    </row>
    <row r="18" customFormat="false" ht="19.5" hidden="false" customHeight="true" outlineLevel="0" collapsed="false">
      <c r="A18" s="85" t="s">
        <v>631</v>
      </c>
      <c r="B18" s="85" t="s">
        <v>565</v>
      </c>
      <c r="C18" s="86" t="s">
        <v>201</v>
      </c>
      <c r="D18" s="85" t="s">
        <v>627</v>
      </c>
      <c r="E18" s="87" t="s">
        <v>235</v>
      </c>
      <c r="F18" s="85" t="s">
        <v>606</v>
      </c>
      <c r="G18" s="85" t="s">
        <v>458</v>
      </c>
    </row>
    <row r="19" customFormat="false" ht="19.5" hidden="false" customHeight="true" outlineLevel="0" collapsed="false">
      <c r="A19" s="88" t="s">
        <v>632</v>
      </c>
      <c r="B19" s="88" t="s">
        <v>576</v>
      </c>
      <c r="C19" s="89" t="s">
        <v>196</v>
      </c>
      <c r="D19" s="88" t="s">
        <v>627</v>
      </c>
      <c r="E19" s="87" t="s">
        <v>235</v>
      </c>
      <c r="F19" s="88" t="s">
        <v>612</v>
      </c>
      <c r="G19" s="88" t="s">
        <v>458</v>
      </c>
    </row>
    <row r="20" customFormat="false" ht="19.5" hidden="false" customHeight="true" outlineLevel="0" collapsed="false">
      <c r="A20" s="85" t="s">
        <v>633</v>
      </c>
      <c r="B20" s="85" t="s">
        <v>581</v>
      </c>
      <c r="C20" s="86" t="s">
        <v>211</v>
      </c>
      <c r="D20" s="85" t="s">
        <v>627</v>
      </c>
      <c r="E20" s="87" t="s">
        <v>235</v>
      </c>
      <c r="F20" s="85" t="s">
        <v>606</v>
      </c>
      <c r="G20" s="85" t="s">
        <v>458</v>
      </c>
    </row>
    <row r="21" customFormat="false" ht="19.5" hidden="false" customHeight="true" outlineLevel="0" collapsed="false">
      <c r="A21" s="88" t="s">
        <v>634</v>
      </c>
      <c r="B21" s="88" t="s">
        <v>592</v>
      </c>
      <c r="C21" s="89" t="s">
        <v>81</v>
      </c>
      <c r="D21" s="88" t="s">
        <v>627</v>
      </c>
      <c r="E21" s="87" t="s">
        <v>235</v>
      </c>
      <c r="F21" s="88" t="s">
        <v>612</v>
      </c>
      <c r="G21" s="88" t="s">
        <v>458</v>
      </c>
    </row>
    <row r="23" customFormat="false" ht="25.5" hidden="false" customHeight="true" outlineLevel="0" collapsed="false">
      <c r="A23" s="92" t="s">
        <v>635</v>
      </c>
      <c r="B23" s="92"/>
      <c r="C23" s="92"/>
      <c r="D23" s="92"/>
      <c r="E23" s="92"/>
      <c r="F23" s="92"/>
      <c r="G23" s="92"/>
    </row>
    <row r="24" customFormat="false" ht="21.75" hidden="false" customHeight="true" outlineLevel="0" collapsed="false">
      <c r="A24" s="30" t="s">
        <v>636</v>
      </c>
      <c r="B24" s="30" t="s">
        <v>637</v>
      </c>
      <c r="C24" s="30" t="s">
        <v>638</v>
      </c>
      <c r="D24" s="30" t="s">
        <v>639</v>
      </c>
      <c r="E24" s="30" t="s">
        <v>491</v>
      </c>
      <c r="F24" s="30" t="s">
        <v>20</v>
      </c>
      <c r="G24" s="30" t="s">
        <v>640</v>
      </c>
    </row>
    <row r="25" customFormat="false" ht="19.5" hidden="false" customHeight="true" outlineLevel="0" collapsed="false">
      <c r="A25" s="93" t="s">
        <v>641</v>
      </c>
      <c r="B25" s="94" t="s">
        <v>156</v>
      </c>
      <c r="C25" s="94" t="s">
        <v>642</v>
      </c>
      <c r="D25" s="43" t="s">
        <v>235</v>
      </c>
      <c r="E25" s="93" t="s">
        <v>606</v>
      </c>
      <c r="F25" s="93" t="s">
        <v>458</v>
      </c>
      <c r="G25" s="94" t="s">
        <v>643</v>
      </c>
    </row>
    <row r="26" customFormat="false" ht="19.5" hidden="false" customHeight="true" outlineLevel="0" collapsed="false">
      <c r="A26" s="95" t="s">
        <v>644</v>
      </c>
      <c r="B26" s="96" t="s">
        <v>81</v>
      </c>
      <c r="C26" s="96" t="s">
        <v>645</v>
      </c>
      <c r="D26" s="43" t="s">
        <v>235</v>
      </c>
      <c r="E26" s="95" t="s">
        <v>612</v>
      </c>
      <c r="F26" s="95" t="s">
        <v>458</v>
      </c>
      <c r="G26" s="96" t="s">
        <v>646</v>
      </c>
    </row>
    <row r="27" customFormat="false" ht="19.5" hidden="false" customHeight="true" outlineLevel="0" collapsed="false">
      <c r="A27" s="93" t="s">
        <v>647</v>
      </c>
      <c r="B27" s="94" t="s">
        <v>179</v>
      </c>
      <c r="C27" s="94" t="s">
        <v>648</v>
      </c>
      <c r="D27" s="43" t="s">
        <v>235</v>
      </c>
      <c r="E27" s="93" t="s">
        <v>619</v>
      </c>
      <c r="F27" s="93" t="s">
        <v>458</v>
      </c>
      <c r="G27" s="94" t="s">
        <v>649</v>
      </c>
    </row>
    <row r="28" customFormat="false" ht="19.5" hidden="false" customHeight="true" outlineLevel="0" collapsed="false">
      <c r="A28" s="95" t="s">
        <v>650</v>
      </c>
      <c r="B28" s="96" t="s">
        <v>201</v>
      </c>
      <c r="C28" s="96" t="s">
        <v>352</v>
      </c>
      <c r="D28" s="43" t="s">
        <v>235</v>
      </c>
      <c r="E28" s="95" t="s">
        <v>606</v>
      </c>
      <c r="F28" s="95" t="s">
        <v>458</v>
      </c>
      <c r="G28" s="96" t="s">
        <v>651</v>
      </c>
    </row>
    <row r="29" customFormat="false" ht="19.5" hidden="false" customHeight="true" outlineLevel="0" collapsed="false">
      <c r="A29" s="93" t="s">
        <v>652</v>
      </c>
      <c r="B29" s="94" t="s">
        <v>196</v>
      </c>
      <c r="C29" s="94" t="s">
        <v>653</v>
      </c>
      <c r="D29" s="43" t="s">
        <v>235</v>
      </c>
      <c r="E29" s="93" t="s">
        <v>612</v>
      </c>
      <c r="F29" s="93" t="s">
        <v>458</v>
      </c>
      <c r="G29" s="94" t="s">
        <v>654</v>
      </c>
    </row>
    <row r="30" customFormat="false" ht="19.5" hidden="false" customHeight="true" outlineLevel="0" collapsed="false">
      <c r="A30" s="95" t="s">
        <v>655</v>
      </c>
      <c r="B30" s="96" t="s">
        <v>211</v>
      </c>
      <c r="C30" s="96" t="s">
        <v>367</v>
      </c>
      <c r="D30" s="43" t="s">
        <v>235</v>
      </c>
      <c r="E30" s="95" t="s">
        <v>619</v>
      </c>
      <c r="F30" s="95" t="s">
        <v>458</v>
      </c>
      <c r="G30" s="96" t="s">
        <v>656</v>
      </c>
    </row>
    <row r="31" customFormat="false" ht="19.5" hidden="false" customHeight="true" outlineLevel="0" collapsed="false">
      <c r="A31" s="93" t="s">
        <v>657</v>
      </c>
      <c r="B31" s="94" t="s">
        <v>117</v>
      </c>
      <c r="C31" s="94" t="s">
        <v>658</v>
      </c>
      <c r="D31" s="43" t="s">
        <v>235</v>
      </c>
      <c r="E31" s="93" t="s">
        <v>606</v>
      </c>
      <c r="F31" s="93" t="s">
        <v>458</v>
      </c>
      <c r="G31" s="94" t="s">
        <v>659</v>
      </c>
    </row>
  </sheetData>
  <mergeCells count="4">
    <mergeCell ref="A1:G1"/>
    <mergeCell ref="A3:G3"/>
    <mergeCell ref="A12:G12"/>
    <mergeCell ref="A23:G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4" min="3" style="0" width="16"/>
    <col collapsed="false" customWidth="true" hidden="false" outlineLevel="0" max="5" min="5" style="0" width="28"/>
    <col collapsed="false" customWidth="true" hidden="false" outlineLevel="0" max="6" min="6" style="0" width="16"/>
  </cols>
  <sheetData>
    <row r="1" customFormat="false" ht="33.75" hidden="false" customHeight="true" outlineLevel="0" collapsed="false">
      <c r="A1" s="97" t="s">
        <v>660</v>
      </c>
      <c r="B1" s="97"/>
      <c r="C1" s="97"/>
      <c r="D1" s="97"/>
      <c r="E1" s="97"/>
      <c r="F1" s="97"/>
    </row>
    <row r="3" customFormat="false" ht="25.5" hidden="false" customHeight="true" outlineLevel="0" collapsed="false">
      <c r="A3" s="40" t="s">
        <v>661</v>
      </c>
      <c r="B3" s="40"/>
      <c r="C3" s="40"/>
      <c r="D3" s="40"/>
      <c r="E3" s="40"/>
      <c r="F3" s="40"/>
    </row>
    <row r="4" customFormat="false" ht="21.75" hidden="false" customHeight="true" outlineLevel="0" collapsed="false">
      <c r="A4" s="98" t="s">
        <v>10</v>
      </c>
      <c r="B4" s="98"/>
      <c r="C4" s="98"/>
      <c r="D4" s="99" t="s">
        <v>662</v>
      </c>
      <c r="E4" s="99"/>
      <c r="F4" s="99"/>
    </row>
    <row r="5" customFormat="false" ht="21.75" hidden="false" customHeight="true" outlineLevel="0" collapsed="false">
      <c r="A5" s="98" t="s">
        <v>663</v>
      </c>
      <c r="B5" s="98"/>
      <c r="C5" s="98"/>
      <c r="D5" s="99" t="s">
        <v>662</v>
      </c>
      <c r="E5" s="99"/>
      <c r="F5" s="99"/>
    </row>
    <row r="6" customFormat="false" ht="21.75" hidden="false" customHeight="true" outlineLevel="0" collapsed="false">
      <c r="A6" s="98" t="s">
        <v>664</v>
      </c>
      <c r="B6" s="98"/>
      <c r="C6" s="98"/>
      <c r="D6" s="99" t="s">
        <v>662</v>
      </c>
      <c r="E6" s="99"/>
      <c r="F6" s="99"/>
    </row>
    <row r="7" customFormat="false" ht="21.75" hidden="false" customHeight="true" outlineLevel="0" collapsed="false">
      <c r="A7" s="98" t="s">
        <v>665</v>
      </c>
      <c r="B7" s="98"/>
      <c r="C7" s="98"/>
      <c r="D7" s="99" t="s">
        <v>666</v>
      </c>
      <c r="E7" s="99"/>
      <c r="F7" s="99"/>
    </row>
    <row r="8" customFormat="false" ht="21.75" hidden="false" customHeight="true" outlineLevel="0" collapsed="false">
      <c r="A8" s="98" t="s">
        <v>667</v>
      </c>
      <c r="B8" s="98"/>
      <c r="C8" s="98"/>
      <c r="D8" s="99" t="s">
        <v>666</v>
      </c>
      <c r="E8" s="99"/>
      <c r="F8" s="99"/>
    </row>
    <row r="9" customFormat="false" ht="21.75" hidden="false" customHeight="true" outlineLevel="0" collapsed="false">
      <c r="A9" s="98" t="s">
        <v>668</v>
      </c>
      <c r="B9" s="98"/>
      <c r="C9" s="98"/>
      <c r="D9" s="99" t="s">
        <v>666</v>
      </c>
      <c r="E9" s="99"/>
      <c r="F9" s="99"/>
    </row>
    <row r="10" customFormat="false" ht="21.75" hidden="false" customHeight="true" outlineLevel="0" collapsed="false">
      <c r="A10" s="98" t="s">
        <v>669</v>
      </c>
      <c r="B10" s="98"/>
      <c r="C10" s="98"/>
      <c r="D10" s="99" t="s">
        <v>670</v>
      </c>
      <c r="E10" s="99"/>
      <c r="F10" s="99"/>
    </row>
    <row r="11" customFormat="false" ht="21.75" hidden="false" customHeight="true" outlineLevel="0" collapsed="false">
      <c r="A11" s="98" t="s">
        <v>671</v>
      </c>
      <c r="B11" s="98"/>
      <c r="C11" s="98"/>
      <c r="D11" s="99" t="s">
        <v>666</v>
      </c>
      <c r="E11" s="99"/>
      <c r="F11" s="99"/>
    </row>
    <row r="12" customFormat="false" ht="21.75" hidden="false" customHeight="true" outlineLevel="0" collapsed="false">
      <c r="A12" s="98" t="s">
        <v>672</v>
      </c>
      <c r="B12" s="98"/>
      <c r="C12" s="98"/>
      <c r="D12" s="99" t="s">
        <v>673</v>
      </c>
      <c r="E12" s="99"/>
      <c r="F12" s="99"/>
    </row>
    <row r="13" customFormat="false" ht="21.75" hidden="false" customHeight="true" outlineLevel="0" collapsed="false">
      <c r="A13" s="98" t="s">
        <v>674</v>
      </c>
      <c r="B13" s="98"/>
      <c r="C13" s="98"/>
      <c r="D13" s="99" t="s">
        <v>673</v>
      </c>
      <c r="E13" s="99"/>
      <c r="F13" s="99"/>
    </row>
    <row r="14" customFormat="false" ht="21.75" hidden="false" customHeight="true" outlineLevel="0" collapsed="false">
      <c r="A14" s="98" t="s">
        <v>675</v>
      </c>
      <c r="B14" s="98"/>
      <c r="C14" s="98"/>
      <c r="D14" s="99" t="s">
        <v>670</v>
      </c>
      <c r="E14" s="99"/>
      <c r="F14" s="99"/>
    </row>
    <row r="16" customFormat="false" ht="25.5" hidden="false" customHeight="true" outlineLevel="0" collapsed="false">
      <c r="A16" s="92" t="s">
        <v>676</v>
      </c>
      <c r="B16" s="92"/>
      <c r="C16" s="92"/>
      <c r="D16" s="92"/>
      <c r="E16" s="92"/>
      <c r="F16" s="92"/>
    </row>
    <row r="17" customFormat="false" ht="30" hidden="false" customHeight="true" outlineLevel="0" collapsed="false">
      <c r="A17" s="100" t="s">
        <v>677</v>
      </c>
      <c r="B17" s="100"/>
      <c r="C17" s="100"/>
      <c r="D17" s="100"/>
      <c r="E17" s="100"/>
      <c r="F17" s="100"/>
    </row>
    <row r="18" customFormat="false" ht="30" hidden="false" customHeight="true" outlineLevel="0" collapsed="false">
      <c r="A18" s="101" t="s">
        <v>678</v>
      </c>
      <c r="B18" s="101"/>
      <c r="C18" s="101"/>
      <c r="D18" s="101"/>
      <c r="E18" s="101"/>
      <c r="F18" s="101"/>
    </row>
    <row r="19" customFormat="false" ht="30" hidden="false" customHeight="true" outlineLevel="0" collapsed="false">
      <c r="A19" s="100" t="s">
        <v>679</v>
      </c>
      <c r="B19" s="100"/>
      <c r="C19" s="100"/>
      <c r="D19" s="100"/>
      <c r="E19" s="100"/>
      <c r="F19" s="100"/>
    </row>
    <row r="20" customFormat="false" ht="30" hidden="false" customHeight="true" outlineLevel="0" collapsed="false">
      <c r="A20" s="101" t="s">
        <v>680</v>
      </c>
      <c r="B20" s="101"/>
      <c r="C20" s="101"/>
      <c r="D20" s="101"/>
      <c r="E20" s="101"/>
      <c r="F20" s="101"/>
    </row>
    <row r="21" customFormat="false" ht="30" hidden="false" customHeight="true" outlineLevel="0" collapsed="false">
      <c r="A21" s="100" t="s">
        <v>681</v>
      </c>
      <c r="B21" s="100"/>
      <c r="C21" s="100"/>
      <c r="D21" s="100"/>
      <c r="E21" s="100"/>
      <c r="F21" s="100"/>
    </row>
    <row r="22" customFormat="false" ht="30" hidden="false" customHeight="true" outlineLevel="0" collapsed="false">
      <c r="A22" s="101" t="s">
        <v>682</v>
      </c>
      <c r="B22" s="101"/>
      <c r="C22" s="101"/>
      <c r="D22" s="101"/>
      <c r="E22" s="101"/>
      <c r="F22" s="101"/>
    </row>
    <row r="23" customFormat="false" ht="30" hidden="false" customHeight="true" outlineLevel="0" collapsed="false">
      <c r="A23" s="100" t="s">
        <v>683</v>
      </c>
      <c r="B23" s="100"/>
      <c r="C23" s="100"/>
      <c r="D23" s="100"/>
      <c r="E23" s="100"/>
      <c r="F23" s="100"/>
    </row>
    <row r="25" customFormat="false" ht="25.5" hidden="false" customHeight="true" outlineLevel="0" collapsed="false">
      <c r="A25" s="102" t="s">
        <v>684</v>
      </c>
      <c r="B25" s="102"/>
      <c r="C25" s="102"/>
      <c r="D25" s="102"/>
      <c r="E25" s="102"/>
      <c r="F25" s="102"/>
    </row>
    <row r="26" customFormat="false" ht="24" hidden="false" customHeight="true" outlineLevel="0" collapsed="false">
      <c r="A26" s="103" t="s">
        <v>685</v>
      </c>
      <c r="B26" s="103" t="s">
        <v>686</v>
      </c>
      <c r="C26" s="103" t="s">
        <v>687</v>
      </c>
      <c r="D26" s="103" t="s">
        <v>20</v>
      </c>
      <c r="E26" s="103" t="s">
        <v>227</v>
      </c>
    </row>
    <row r="27" customFormat="false" ht="24" hidden="false" customHeight="true" outlineLevel="0" collapsed="false">
      <c r="A27" s="104" t="s">
        <v>688</v>
      </c>
      <c r="B27" s="104" t="s">
        <v>689</v>
      </c>
      <c r="C27" s="105" t="s">
        <v>690</v>
      </c>
      <c r="D27" s="104" t="s">
        <v>458</v>
      </c>
      <c r="E27" s="104" t="s">
        <v>691</v>
      </c>
    </row>
    <row r="28" customFormat="false" ht="24" hidden="false" customHeight="true" outlineLevel="0" collapsed="false">
      <c r="A28" s="106" t="s">
        <v>692</v>
      </c>
      <c r="B28" s="106" t="s">
        <v>693</v>
      </c>
      <c r="C28" s="105" t="s">
        <v>690</v>
      </c>
      <c r="D28" s="106" t="s">
        <v>458</v>
      </c>
      <c r="E28" s="106" t="s">
        <v>694</v>
      </c>
    </row>
    <row r="29" customFormat="false" ht="24" hidden="false" customHeight="true" outlineLevel="0" collapsed="false">
      <c r="A29" s="104" t="s">
        <v>695</v>
      </c>
      <c r="B29" s="104" t="s">
        <v>696</v>
      </c>
      <c r="C29" s="105" t="s">
        <v>690</v>
      </c>
      <c r="D29" s="104" t="s">
        <v>458</v>
      </c>
      <c r="E29" s="104" t="s">
        <v>697</v>
      </c>
    </row>
    <row r="30" customFormat="false" ht="24" hidden="false" customHeight="true" outlineLevel="0" collapsed="false">
      <c r="A30" s="106" t="s">
        <v>698</v>
      </c>
      <c r="B30" s="106" t="s">
        <v>699</v>
      </c>
      <c r="C30" s="105" t="s">
        <v>690</v>
      </c>
      <c r="D30" s="106" t="s">
        <v>458</v>
      </c>
      <c r="E30" s="106" t="s">
        <v>700</v>
      </c>
    </row>
    <row r="31" customFormat="false" ht="24" hidden="false" customHeight="true" outlineLevel="0" collapsed="false">
      <c r="A31" s="104" t="s">
        <v>701</v>
      </c>
      <c r="B31" s="104" t="s">
        <v>702</v>
      </c>
      <c r="C31" s="105" t="s">
        <v>690</v>
      </c>
      <c r="D31" s="104" t="s">
        <v>458</v>
      </c>
      <c r="E31" s="104" t="s">
        <v>703</v>
      </c>
    </row>
    <row r="32" customFormat="false" ht="33.75" hidden="false" customHeight="true" outlineLevel="0" collapsed="false">
      <c r="A32" s="107" t="s">
        <v>704</v>
      </c>
      <c r="B32" s="107"/>
      <c r="C32" s="107"/>
      <c r="D32" s="107"/>
      <c r="E32" s="107"/>
      <c r="F32" s="107"/>
    </row>
  </sheetData>
  <mergeCells count="34">
    <mergeCell ref="A1:F1"/>
    <mergeCell ref="A3:F3"/>
    <mergeCell ref="A4:C4"/>
    <mergeCell ref="D4:F4"/>
    <mergeCell ref="A5:C5"/>
    <mergeCell ref="D5:F5"/>
    <mergeCell ref="A6:C6"/>
    <mergeCell ref="D6:F6"/>
    <mergeCell ref="A7:C7"/>
    <mergeCell ref="D7:F7"/>
    <mergeCell ref="A8:C8"/>
    <mergeCell ref="D8:F8"/>
    <mergeCell ref="A9:C9"/>
    <mergeCell ref="D9:F9"/>
    <mergeCell ref="A10:C10"/>
    <mergeCell ref="D10:F10"/>
    <mergeCell ref="A11:C11"/>
    <mergeCell ref="D11:F11"/>
    <mergeCell ref="A12:C12"/>
    <mergeCell ref="D12:F12"/>
    <mergeCell ref="A13:C13"/>
    <mergeCell ref="D13:F13"/>
    <mergeCell ref="A14:C14"/>
    <mergeCell ref="D14:F14"/>
    <mergeCell ref="A16:F16"/>
    <mergeCell ref="A17:F17"/>
    <mergeCell ref="A18:F18"/>
    <mergeCell ref="A19:F19"/>
    <mergeCell ref="A20:F20"/>
    <mergeCell ref="A21:F21"/>
    <mergeCell ref="A22:F22"/>
    <mergeCell ref="A23:F23"/>
    <mergeCell ref="A25:F25"/>
    <mergeCell ref="A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2026-04-11T03:05:16Z</dcterms:created>
  <dc:creator>openpyxl</dc:creator>
  <dc:description/>
  <dc:language>en-US</dc:language>
  <cp:lastModifiedBy/>
  <dcterms:modified xsi:type="dcterms:W3CDTF">2026-04-11T03:05:16Z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